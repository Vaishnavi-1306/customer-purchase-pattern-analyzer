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EBEC82BDB6C3C8A/Documents/"/>
    </mc:Choice>
  </mc:AlternateContent>
  <xr:revisionPtr revIDLastSave="471" documentId="8_{E1498F12-319F-47FB-97D1-ECC1FF7289B0}" xr6:coauthVersionLast="47" xr6:coauthVersionMax="47" xr10:uidLastSave="{7F93C88E-B8A8-404C-8B67-001550C57706}"/>
  <bookViews>
    <workbookView xWindow="5268" yWindow="528" windowWidth="17280" windowHeight="8880" xr2:uid="{00000000-000D-0000-FFFF-FFFF00000000}"/>
  </bookViews>
  <sheets>
    <sheet name="Customer Purchase Data" sheetId="1" r:id="rId1"/>
  </sheets>
  <calcPr calcId="191029"/>
</workbook>
</file>

<file path=xl/calcChain.xml><?xml version="1.0" encoding="utf-8"?>
<calcChain xmlns="http://schemas.openxmlformats.org/spreadsheetml/2006/main">
  <c r="AB3" i="1" l="1"/>
  <c r="AC3" i="1" s="1"/>
  <c r="AB4" i="1"/>
  <c r="AC4" i="1" s="1"/>
  <c r="AB5" i="1"/>
  <c r="AC5" i="1" s="1"/>
  <c r="AB6" i="1"/>
  <c r="AC6" i="1" s="1"/>
  <c r="AB7" i="1"/>
  <c r="AC7" i="1" s="1"/>
  <c r="AB8" i="1"/>
  <c r="AC8" i="1" s="1"/>
  <c r="AB9" i="1"/>
  <c r="AC9" i="1" s="1"/>
  <c r="AB10" i="1"/>
  <c r="AC10" i="1" s="1"/>
  <c r="AB11" i="1"/>
  <c r="AC11" i="1" s="1"/>
  <c r="AB12" i="1"/>
  <c r="AC12" i="1" s="1"/>
  <c r="AB13" i="1"/>
  <c r="AC13" i="1" s="1"/>
  <c r="AB14" i="1"/>
  <c r="AC14" i="1" s="1"/>
  <c r="AB15" i="1"/>
  <c r="AC15" i="1" s="1"/>
  <c r="AB16" i="1"/>
  <c r="AC16" i="1" s="1"/>
  <c r="AB17" i="1"/>
  <c r="AC17" i="1" s="1"/>
  <c r="AB18" i="1"/>
  <c r="AC18" i="1" s="1"/>
  <c r="AB19" i="1"/>
  <c r="AC19" i="1" s="1"/>
  <c r="AB20" i="1"/>
  <c r="AC20" i="1" s="1"/>
  <c r="AB21" i="1"/>
  <c r="AC21" i="1" s="1"/>
  <c r="AB22" i="1"/>
  <c r="AC22" i="1" s="1"/>
  <c r="AB23" i="1"/>
  <c r="AC23" i="1" s="1"/>
  <c r="AB24" i="1"/>
  <c r="AC24" i="1" s="1"/>
  <c r="AB25" i="1"/>
  <c r="AC25" i="1" s="1"/>
  <c r="AB26" i="1"/>
  <c r="AC26" i="1" s="1"/>
  <c r="AB27" i="1"/>
  <c r="AC27" i="1" s="1"/>
  <c r="AB28" i="1"/>
  <c r="AC28" i="1" s="1"/>
  <c r="AB29" i="1"/>
  <c r="AC29" i="1" s="1"/>
  <c r="AB30" i="1"/>
  <c r="AC30" i="1" s="1"/>
  <c r="AB31" i="1"/>
  <c r="AC31" i="1" s="1"/>
  <c r="AB32" i="1"/>
  <c r="AC32" i="1" s="1"/>
  <c r="AB33" i="1"/>
  <c r="AC33" i="1" s="1"/>
  <c r="AB34" i="1"/>
  <c r="AC34" i="1" s="1"/>
  <c r="AB35" i="1"/>
  <c r="AC35" i="1" s="1"/>
  <c r="AB36" i="1"/>
  <c r="AC36" i="1" s="1"/>
  <c r="AB37" i="1"/>
  <c r="AC37" i="1" s="1"/>
  <c r="AB38" i="1"/>
  <c r="AC38" i="1" s="1"/>
  <c r="AB39" i="1"/>
  <c r="AC39" i="1" s="1"/>
  <c r="AB40" i="1"/>
  <c r="AC40" i="1" s="1"/>
  <c r="AB41" i="1"/>
  <c r="AC41" i="1" s="1"/>
  <c r="AB42" i="1"/>
  <c r="AC42" i="1" s="1"/>
  <c r="AB43" i="1"/>
  <c r="AC43" i="1" s="1"/>
  <c r="AB44" i="1"/>
  <c r="AC44" i="1" s="1"/>
  <c r="AB45" i="1"/>
  <c r="AC45" i="1" s="1"/>
  <c r="AB46" i="1"/>
  <c r="AC46" i="1" s="1"/>
  <c r="AB47" i="1"/>
  <c r="AC47" i="1" s="1"/>
  <c r="AB48" i="1"/>
  <c r="AC48" i="1" s="1"/>
  <c r="AB49" i="1"/>
  <c r="AC49" i="1" s="1"/>
  <c r="AB50" i="1"/>
  <c r="AC50" i="1" s="1"/>
  <c r="AB51" i="1"/>
  <c r="AC51" i="1" s="1"/>
  <c r="AB52" i="1"/>
  <c r="AC52" i="1" s="1"/>
  <c r="AB53" i="1"/>
  <c r="AC53" i="1" s="1"/>
  <c r="AB54" i="1"/>
  <c r="AC54" i="1" s="1"/>
  <c r="AB55" i="1"/>
  <c r="AC55" i="1" s="1"/>
  <c r="AB56" i="1"/>
  <c r="AC56" i="1" s="1"/>
  <c r="AB57" i="1"/>
  <c r="AC57" i="1" s="1"/>
  <c r="AB58" i="1"/>
  <c r="AC58" i="1" s="1"/>
  <c r="AB59" i="1"/>
  <c r="AC59" i="1" s="1"/>
  <c r="AB60" i="1"/>
  <c r="AC60" i="1" s="1"/>
  <c r="AB61" i="1"/>
  <c r="AC61" i="1" s="1"/>
  <c r="AB62" i="1"/>
  <c r="AC62" i="1" s="1"/>
  <c r="AB63" i="1"/>
  <c r="AC63" i="1" s="1"/>
  <c r="AB64" i="1"/>
  <c r="AC64" i="1" s="1"/>
  <c r="AB65" i="1"/>
  <c r="AC65" i="1" s="1"/>
  <c r="AB66" i="1"/>
  <c r="AC66" i="1" s="1"/>
  <c r="AB67" i="1"/>
  <c r="AC67" i="1" s="1"/>
  <c r="AB68" i="1"/>
  <c r="AC68" i="1" s="1"/>
  <c r="AB69" i="1"/>
  <c r="AC69" i="1" s="1"/>
  <c r="AB70" i="1"/>
  <c r="AC70" i="1" s="1"/>
  <c r="AB71" i="1"/>
  <c r="AC71" i="1" s="1"/>
  <c r="AB72" i="1"/>
  <c r="AC72" i="1" s="1"/>
  <c r="AB73" i="1"/>
  <c r="AC73" i="1" s="1"/>
  <c r="AB74" i="1"/>
  <c r="AC74" i="1" s="1"/>
  <c r="AB75" i="1"/>
  <c r="AC75" i="1" s="1"/>
  <c r="AB76" i="1"/>
  <c r="AC76" i="1" s="1"/>
  <c r="AB77" i="1"/>
  <c r="AC77" i="1" s="1"/>
  <c r="AB78" i="1"/>
  <c r="AC78" i="1" s="1"/>
  <c r="AB79" i="1"/>
  <c r="AC79" i="1" s="1"/>
  <c r="AB80" i="1"/>
  <c r="AC80" i="1" s="1"/>
  <c r="AB81" i="1"/>
  <c r="AC81" i="1" s="1"/>
  <c r="AB82" i="1"/>
  <c r="AC82" i="1" s="1"/>
  <c r="AB83" i="1"/>
  <c r="AC83" i="1" s="1"/>
  <c r="AB84" i="1"/>
  <c r="AC84" i="1" s="1"/>
  <c r="AB85" i="1"/>
  <c r="AC85" i="1" s="1"/>
  <c r="AB86" i="1"/>
  <c r="AC86" i="1" s="1"/>
  <c r="AB87" i="1"/>
  <c r="AC87" i="1" s="1"/>
  <c r="AB88" i="1"/>
  <c r="AC88" i="1" s="1"/>
  <c r="AB89" i="1"/>
  <c r="AC89" i="1" s="1"/>
  <c r="AB90" i="1"/>
  <c r="AC90" i="1" s="1"/>
  <c r="AB91" i="1"/>
  <c r="AC91" i="1" s="1"/>
  <c r="AB92" i="1"/>
  <c r="AC92" i="1" s="1"/>
  <c r="AB93" i="1"/>
  <c r="AC93" i="1" s="1"/>
  <c r="AB94" i="1"/>
  <c r="AC94" i="1" s="1"/>
  <c r="AB95" i="1"/>
  <c r="AC95" i="1" s="1"/>
  <c r="AB96" i="1"/>
  <c r="AC96" i="1" s="1"/>
  <c r="AB97" i="1"/>
  <c r="AC97" i="1" s="1"/>
  <c r="AB98" i="1"/>
  <c r="AC98" i="1" s="1"/>
  <c r="AB99" i="1"/>
  <c r="AC99" i="1" s="1"/>
  <c r="AB100" i="1"/>
  <c r="AC100" i="1" s="1"/>
  <c r="AB101" i="1"/>
  <c r="AC101" i="1" s="1"/>
  <c r="AB102" i="1"/>
  <c r="AC102" i="1" s="1"/>
  <c r="AB103" i="1"/>
  <c r="AC103" i="1" s="1"/>
  <c r="AB104" i="1"/>
  <c r="AC104" i="1" s="1"/>
  <c r="AB105" i="1"/>
  <c r="AC105" i="1" s="1"/>
  <c r="AB106" i="1"/>
  <c r="AC106" i="1" s="1"/>
  <c r="AB107" i="1"/>
  <c r="AC107" i="1" s="1"/>
  <c r="AB108" i="1"/>
  <c r="AC108" i="1" s="1"/>
  <c r="AB109" i="1"/>
  <c r="AC109" i="1" s="1"/>
  <c r="AB110" i="1"/>
  <c r="AC110" i="1" s="1"/>
  <c r="AB111" i="1"/>
  <c r="AC111" i="1" s="1"/>
  <c r="AB112" i="1"/>
  <c r="AC112" i="1" s="1"/>
  <c r="AB113" i="1"/>
  <c r="AC113" i="1" s="1"/>
  <c r="AB114" i="1"/>
  <c r="AC114" i="1" s="1"/>
  <c r="AB115" i="1"/>
  <c r="AC115" i="1" s="1"/>
  <c r="AB116" i="1"/>
  <c r="AC116" i="1" s="1"/>
  <c r="AB117" i="1"/>
  <c r="AC117" i="1" s="1"/>
  <c r="AB118" i="1"/>
  <c r="AC118" i="1" s="1"/>
  <c r="AB119" i="1"/>
  <c r="AC119" i="1" s="1"/>
  <c r="AB120" i="1"/>
  <c r="AC120" i="1" s="1"/>
  <c r="AB121" i="1"/>
  <c r="AC121" i="1" s="1"/>
  <c r="AB122" i="1"/>
  <c r="AC122" i="1" s="1"/>
  <c r="AB123" i="1"/>
  <c r="AC123" i="1" s="1"/>
  <c r="AB124" i="1"/>
  <c r="AC124" i="1" s="1"/>
  <c r="AB125" i="1"/>
  <c r="AC125" i="1" s="1"/>
  <c r="AB126" i="1"/>
  <c r="AC126" i="1" s="1"/>
  <c r="AB127" i="1"/>
  <c r="AC127" i="1" s="1"/>
  <c r="AB128" i="1"/>
  <c r="AC128" i="1" s="1"/>
  <c r="AB129" i="1"/>
  <c r="AC129" i="1" s="1"/>
  <c r="AB130" i="1"/>
  <c r="AC130" i="1" s="1"/>
  <c r="AB131" i="1"/>
  <c r="AC131" i="1" s="1"/>
  <c r="AB132" i="1"/>
  <c r="AC132" i="1" s="1"/>
  <c r="AB133" i="1"/>
  <c r="AC133" i="1" s="1"/>
  <c r="AB134" i="1"/>
  <c r="AC134" i="1" s="1"/>
  <c r="AB135" i="1"/>
  <c r="AC135" i="1" s="1"/>
  <c r="AB136" i="1"/>
  <c r="AC136" i="1" s="1"/>
  <c r="AB137" i="1"/>
  <c r="AC137" i="1" s="1"/>
  <c r="AB138" i="1"/>
  <c r="AC138" i="1" s="1"/>
  <c r="AB139" i="1"/>
  <c r="AC139" i="1" s="1"/>
  <c r="AB140" i="1"/>
  <c r="AC140" i="1" s="1"/>
  <c r="AB141" i="1"/>
  <c r="AC141" i="1" s="1"/>
  <c r="AB142" i="1"/>
  <c r="AC142" i="1" s="1"/>
  <c r="AB143" i="1"/>
  <c r="AC143" i="1" s="1"/>
  <c r="AB144" i="1"/>
  <c r="AC144" i="1" s="1"/>
  <c r="AB145" i="1"/>
  <c r="AC145" i="1" s="1"/>
  <c r="AB146" i="1"/>
  <c r="AC146" i="1" s="1"/>
  <c r="AB147" i="1"/>
  <c r="AC147" i="1" s="1"/>
  <c r="AB148" i="1"/>
  <c r="AC148" i="1" s="1"/>
  <c r="AB149" i="1"/>
  <c r="AC149" i="1" s="1"/>
  <c r="AB150" i="1"/>
  <c r="AC150" i="1" s="1"/>
  <c r="AB151" i="1"/>
  <c r="AC151" i="1" s="1"/>
  <c r="AB152" i="1"/>
  <c r="AC152" i="1" s="1"/>
  <c r="AB153" i="1"/>
  <c r="AC153" i="1" s="1"/>
  <c r="AB154" i="1"/>
  <c r="AC154" i="1" s="1"/>
  <c r="AB155" i="1"/>
  <c r="AC155" i="1" s="1"/>
  <c r="AB156" i="1"/>
  <c r="AC156" i="1" s="1"/>
  <c r="AB157" i="1"/>
  <c r="AC157" i="1" s="1"/>
  <c r="AB158" i="1"/>
  <c r="AC158" i="1" s="1"/>
  <c r="AB159" i="1"/>
  <c r="AC159" i="1" s="1"/>
  <c r="AB160" i="1"/>
  <c r="AC160" i="1" s="1"/>
  <c r="AB161" i="1"/>
  <c r="AC161" i="1" s="1"/>
  <c r="AB162" i="1"/>
  <c r="AC162" i="1" s="1"/>
  <c r="AB163" i="1"/>
  <c r="AC163" i="1" s="1"/>
  <c r="AB164" i="1"/>
  <c r="AC164" i="1" s="1"/>
  <c r="AB165" i="1"/>
  <c r="AC165" i="1" s="1"/>
  <c r="AB166" i="1"/>
  <c r="AC166" i="1" s="1"/>
  <c r="AB167" i="1"/>
  <c r="AC167" i="1" s="1"/>
  <c r="AB168" i="1"/>
  <c r="AC168" i="1" s="1"/>
  <c r="AB169" i="1"/>
  <c r="AC169" i="1" s="1"/>
  <c r="AB170" i="1"/>
  <c r="AC170" i="1" s="1"/>
  <c r="AB171" i="1"/>
  <c r="AC171" i="1" s="1"/>
  <c r="AB172" i="1"/>
  <c r="AC172" i="1" s="1"/>
  <c r="AB173" i="1"/>
  <c r="AC173" i="1" s="1"/>
  <c r="AB174" i="1"/>
  <c r="AC174" i="1" s="1"/>
  <c r="AB175" i="1"/>
  <c r="AC175" i="1" s="1"/>
  <c r="AB176" i="1"/>
  <c r="AC176" i="1" s="1"/>
  <c r="AB177" i="1"/>
  <c r="AC177" i="1" s="1"/>
  <c r="AB178" i="1"/>
  <c r="AC178" i="1" s="1"/>
  <c r="AB179" i="1"/>
  <c r="AC179" i="1" s="1"/>
  <c r="AB180" i="1"/>
  <c r="AC180" i="1" s="1"/>
  <c r="AB181" i="1"/>
  <c r="AC181" i="1" s="1"/>
  <c r="AB182" i="1"/>
  <c r="AC182" i="1" s="1"/>
  <c r="AB183" i="1"/>
  <c r="AC183" i="1" s="1"/>
  <c r="AB184" i="1"/>
  <c r="AC184" i="1" s="1"/>
  <c r="AB185" i="1"/>
  <c r="AC185" i="1" s="1"/>
  <c r="AB186" i="1"/>
  <c r="AC186" i="1" s="1"/>
  <c r="AB187" i="1"/>
  <c r="AC187" i="1" s="1"/>
  <c r="AB188" i="1"/>
  <c r="AC188" i="1" s="1"/>
  <c r="AB189" i="1"/>
  <c r="AC189" i="1" s="1"/>
  <c r="AB190" i="1"/>
  <c r="AC190" i="1" s="1"/>
  <c r="AB191" i="1"/>
  <c r="AC191" i="1" s="1"/>
  <c r="AB192" i="1"/>
  <c r="AC192" i="1" s="1"/>
  <c r="AB193" i="1"/>
  <c r="AC193" i="1" s="1"/>
  <c r="AB194" i="1"/>
  <c r="AC194" i="1" s="1"/>
  <c r="AB195" i="1"/>
  <c r="AC195" i="1" s="1"/>
  <c r="AB196" i="1"/>
  <c r="AC196" i="1" s="1"/>
  <c r="AB197" i="1"/>
  <c r="AC197" i="1" s="1"/>
  <c r="AB198" i="1"/>
  <c r="AC198" i="1" s="1"/>
  <c r="AB199" i="1"/>
  <c r="AC199" i="1" s="1"/>
  <c r="AB200" i="1"/>
  <c r="AC200" i="1" s="1"/>
  <c r="AB201" i="1"/>
  <c r="AC201" i="1" s="1"/>
  <c r="AB2" i="1"/>
  <c r="AC2" i="1" s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4" i="1"/>
  <c r="Y5" i="1"/>
  <c r="Y6" i="1"/>
  <c r="Y7" i="1"/>
  <c r="Y8" i="1"/>
  <c r="Y3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" i="1"/>
</calcChain>
</file>

<file path=xl/sharedStrings.xml><?xml version="1.0" encoding="utf-8"?>
<sst xmlns="http://schemas.openxmlformats.org/spreadsheetml/2006/main" count="3229" uniqueCount="590">
  <si>
    <t>Customer ID</t>
  </si>
  <si>
    <t>Customer Name</t>
  </si>
  <si>
    <t>Age</t>
  </si>
  <si>
    <t>Gender</t>
  </si>
  <si>
    <t>City</t>
  </si>
  <si>
    <t>Region</t>
  </si>
  <si>
    <t>Occupation</t>
  </si>
  <si>
    <t>Product Category</t>
  </si>
  <si>
    <t>Product Name</t>
  </si>
  <si>
    <t>Purchase Date</t>
  </si>
  <si>
    <t>Quantity Purchased</t>
  </si>
  <si>
    <t>Unit Price</t>
  </si>
  <si>
    <t>Total Purchase Value</t>
  </si>
  <si>
    <t>Payment Method</t>
  </si>
  <si>
    <t>Purchase Channel</t>
  </si>
  <si>
    <t>Customer Segment</t>
  </si>
  <si>
    <t>Loyalty Status</t>
  </si>
  <si>
    <t>Discount Used</t>
  </si>
  <si>
    <t>Purchase Frequency</t>
  </si>
  <si>
    <t>Last Purchase Date</t>
  </si>
  <si>
    <t>C001</t>
  </si>
  <si>
    <t>Amit Kumar</t>
  </si>
  <si>
    <t>Male</t>
  </si>
  <si>
    <t>Indore</t>
  </si>
  <si>
    <t>Central</t>
  </si>
  <si>
    <t>Analyst</t>
  </si>
  <si>
    <t>Beauty</t>
  </si>
  <si>
    <t>Cream</t>
  </si>
  <si>
    <t>2026-02-12</t>
  </si>
  <si>
    <t>Net Banking</t>
  </si>
  <si>
    <t>Online</t>
  </si>
  <si>
    <t>Premium</t>
  </si>
  <si>
    <t>None</t>
  </si>
  <si>
    <t>Yes</t>
  </si>
  <si>
    <t>Quarterly</t>
  </si>
  <si>
    <t>2026-05-09</t>
  </si>
  <si>
    <t>C002</t>
  </si>
  <si>
    <t>Ankit Singh</t>
  </si>
  <si>
    <t>Female</t>
  </si>
  <si>
    <t>Kolkata</t>
  </si>
  <si>
    <t>East</t>
  </si>
  <si>
    <t>Grocery</t>
  </si>
  <si>
    <t>Coffee</t>
  </si>
  <si>
    <t>2026-02-26</t>
  </si>
  <si>
    <t>Offline</t>
  </si>
  <si>
    <t>Regular</t>
  </si>
  <si>
    <t>Bronze</t>
  </si>
  <si>
    <t>No</t>
  </si>
  <si>
    <t>Weekly</t>
  </si>
  <si>
    <t>2026-03-04</t>
  </si>
  <si>
    <t>C003</t>
  </si>
  <si>
    <t>Sneha Jain</t>
  </si>
  <si>
    <t>Pune</t>
  </si>
  <si>
    <t>West</t>
  </si>
  <si>
    <t>Designer</t>
  </si>
  <si>
    <t>Electronics</t>
  </si>
  <si>
    <t>Keyboard</t>
  </si>
  <si>
    <t>2025-03-28</t>
  </si>
  <si>
    <t>UPI</t>
  </si>
  <si>
    <t>Gold</t>
  </si>
  <si>
    <t>2025-06-09</t>
  </si>
  <si>
    <t>C004</t>
  </si>
  <si>
    <t>Mumbai</t>
  </si>
  <si>
    <t>Manager</t>
  </si>
  <si>
    <t>Books</t>
  </si>
  <si>
    <t>Exam Guide</t>
  </si>
  <si>
    <t>2025-03-18</t>
  </si>
  <si>
    <t>Cash</t>
  </si>
  <si>
    <t>VIP</t>
  </si>
  <si>
    <t>2025-05-07</t>
  </si>
  <si>
    <t>C005</t>
  </si>
  <si>
    <t>Rahul Sharma</t>
  </si>
  <si>
    <t>Teacher</t>
  </si>
  <si>
    <t>2025-12-25</t>
  </si>
  <si>
    <t>New</t>
  </si>
  <si>
    <t>2026-02-21</t>
  </si>
  <si>
    <t>C006</t>
  </si>
  <si>
    <t>Pooja Mehta</t>
  </si>
  <si>
    <t>Chennai</t>
  </si>
  <si>
    <t>South</t>
  </si>
  <si>
    <t>Student</t>
  </si>
  <si>
    <t>Rice</t>
  </si>
  <si>
    <t>2026-01-09</t>
  </si>
  <si>
    <t>Monthly</t>
  </si>
  <si>
    <t>2026-04-02</t>
  </si>
  <si>
    <t>C007</t>
  </si>
  <si>
    <t>Simran Kaur</t>
  </si>
  <si>
    <t>Bengaluru</t>
  </si>
  <si>
    <t>2025-12-22</t>
  </si>
  <si>
    <t>2025-12-24</t>
  </si>
  <si>
    <t>C008</t>
  </si>
  <si>
    <t>Doctor</t>
  </si>
  <si>
    <t>2025-07-21</t>
  </si>
  <si>
    <t>2025-07-24</t>
  </si>
  <si>
    <t>C009</t>
  </si>
  <si>
    <t>Vikas Yadav</t>
  </si>
  <si>
    <t>Headphones</t>
  </si>
  <si>
    <t>2025-09-24</t>
  </si>
  <si>
    <t>Credit Card</t>
  </si>
  <si>
    <t>Silver</t>
  </si>
  <si>
    <t>2025-12-06</t>
  </si>
  <si>
    <t>C010</t>
  </si>
  <si>
    <t>Finance Book</t>
  </si>
  <si>
    <t>2025-10-21</t>
  </si>
  <si>
    <t>2025-11-11</t>
  </si>
  <si>
    <t>C011</t>
  </si>
  <si>
    <t>Patna</t>
  </si>
  <si>
    <t>2025-03-01</t>
  </si>
  <si>
    <t>Debit Card</t>
  </si>
  <si>
    <t>2025-04-24</t>
  </si>
  <si>
    <t>C012</t>
  </si>
  <si>
    <t>Neha Gupta</t>
  </si>
  <si>
    <t>2025-03-16</t>
  </si>
  <si>
    <t>2025-07-10</t>
  </si>
  <si>
    <t>C013</t>
  </si>
  <si>
    <t>Fashion</t>
  </si>
  <si>
    <t>Jeans</t>
  </si>
  <si>
    <t>2026-03-03</t>
  </si>
  <si>
    <t>2026-06-19</t>
  </si>
  <si>
    <t>C014</t>
  </si>
  <si>
    <t>Priya Verma</t>
  </si>
  <si>
    <t>Bhopal</t>
  </si>
  <si>
    <t>Smartwatch</t>
  </si>
  <si>
    <t>2025-08-26</t>
  </si>
  <si>
    <t>2025-10-01</t>
  </si>
  <si>
    <t>C015</t>
  </si>
  <si>
    <t>2025-11-16</t>
  </si>
  <si>
    <t>2026-02-03</t>
  </si>
  <si>
    <t>C016</t>
  </si>
  <si>
    <t>Sports</t>
  </si>
  <si>
    <t>Dumbbell</t>
  </si>
  <si>
    <t>2025-03-11</t>
  </si>
  <si>
    <t>2025-05-10</t>
  </si>
  <si>
    <t>C017</t>
  </si>
  <si>
    <t>Lucknow</t>
  </si>
  <si>
    <t>North</t>
  </si>
  <si>
    <t>Face Wash</t>
  </si>
  <si>
    <t>2025-07-27</t>
  </si>
  <si>
    <t>2025-08-19</t>
  </si>
  <si>
    <t>C018</t>
  </si>
  <si>
    <t>Perfume</t>
  </si>
  <si>
    <t>2025-01-08</t>
  </si>
  <si>
    <t>Yearly</t>
  </si>
  <si>
    <t>2025-05-08</t>
  </si>
  <si>
    <t>C019</t>
  </si>
  <si>
    <t>2025-08-13</t>
  </si>
  <si>
    <t>2025-09-05</t>
  </si>
  <si>
    <t>C020</t>
  </si>
  <si>
    <t>Football</t>
  </si>
  <si>
    <t>2025-12-26</t>
  </si>
  <si>
    <t>2026-01-31</t>
  </si>
  <si>
    <t>C021</t>
  </si>
  <si>
    <t>Engineer</t>
  </si>
  <si>
    <t>2025-06-30</t>
  </si>
  <si>
    <t>2025-08-11</t>
  </si>
  <si>
    <t>C022</t>
  </si>
  <si>
    <t>2025-11-12</t>
  </si>
  <si>
    <t>2025-12-30</t>
  </si>
  <si>
    <t>C023</t>
  </si>
  <si>
    <t>Rohit Gupta</t>
  </si>
  <si>
    <t>2026-01-29</t>
  </si>
  <si>
    <t>2026-02-24</t>
  </si>
  <si>
    <t>C024</t>
  </si>
  <si>
    <t>Delhi</t>
  </si>
  <si>
    <t>2025-01-27</t>
  </si>
  <si>
    <t>2025-02-04</t>
  </si>
  <si>
    <t>C025</t>
  </si>
  <si>
    <t>Yoga Mat</t>
  </si>
  <si>
    <t>2025-09-28</t>
  </si>
  <si>
    <t>C026</t>
  </si>
  <si>
    <t>2025-11-21</t>
  </si>
  <si>
    <t>2026-03-07</t>
  </si>
  <si>
    <t>C027</t>
  </si>
  <si>
    <t>2025-10-07</t>
  </si>
  <si>
    <t>2025-11-13</t>
  </si>
  <si>
    <t>C028</t>
  </si>
  <si>
    <t>T-Shirt</t>
  </si>
  <si>
    <t>2025-01-24</t>
  </si>
  <si>
    <t>2025-05-16</t>
  </si>
  <si>
    <t>C029</t>
  </si>
  <si>
    <t>2025-03-12</t>
  </si>
  <si>
    <t>2025-03-22</t>
  </si>
  <si>
    <t>C030</t>
  </si>
  <si>
    <t>2026-01-07</t>
  </si>
  <si>
    <t>2026-01-10</t>
  </si>
  <si>
    <t>C031</t>
  </si>
  <si>
    <t>2025-01-06</t>
  </si>
  <si>
    <t>2025-04-02</t>
  </si>
  <si>
    <t>C032</t>
  </si>
  <si>
    <t>Novel</t>
  </si>
  <si>
    <t>2025-05-31</t>
  </si>
  <si>
    <t>2025-09-09</t>
  </si>
  <si>
    <t>C033</t>
  </si>
  <si>
    <t>2025-03-23</t>
  </si>
  <si>
    <t>2025-04-23</t>
  </si>
  <si>
    <t>C034</t>
  </si>
  <si>
    <t>2025-10-15</t>
  </si>
  <si>
    <t>2025-11-06</t>
  </si>
  <si>
    <t>C035</t>
  </si>
  <si>
    <t>2025-05-01</t>
  </si>
  <si>
    <t>2025-08-20</t>
  </si>
  <si>
    <t>C036</t>
  </si>
  <si>
    <t>2025-07-13</t>
  </si>
  <si>
    <t>2025-08-02</t>
  </si>
  <si>
    <t>C037</t>
  </si>
  <si>
    <t>2025-04-22</t>
  </si>
  <si>
    <t>2025-07-26</t>
  </si>
  <si>
    <t>C038</t>
  </si>
  <si>
    <t>2026-02-09</t>
  </si>
  <si>
    <t>2026-05-20</t>
  </si>
  <si>
    <t>C039</t>
  </si>
  <si>
    <t>2025-03-04</t>
  </si>
  <si>
    <t>2025-06-14</t>
  </si>
  <si>
    <t>C040</t>
  </si>
  <si>
    <t>2026-07-30</t>
  </si>
  <si>
    <t>C041</t>
  </si>
  <si>
    <t>2026-01-14</t>
  </si>
  <si>
    <t>2026-01-16</t>
  </si>
  <si>
    <t>C042</t>
  </si>
  <si>
    <t>2025-06-24</t>
  </si>
  <si>
    <t>2025-07-03</t>
  </si>
  <si>
    <t>C043</t>
  </si>
  <si>
    <t>2025-03-06</t>
  </si>
  <si>
    <t>2025-03-19</t>
  </si>
  <si>
    <t>C044</t>
  </si>
  <si>
    <t>2025-01-05</t>
  </si>
  <si>
    <t>2025-01-17</t>
  </si>
  <si>
    <t>C045</t>
  </si>
  <si>
    <t>Jacket</t>
  </si>
  <si>
    <t>2025-09-01</t>
  </si>
  <si>
    <t>2025-12-29</t>
  </si>
  <si>
    <t>C046</t>
  </si>
  <si>
    <t>2025-07-06</t>
  </si>
  <si>
    <t>2025-07-08</t>
  </si>
  <si>
    <t>C047</t>
  </si>
  <si>
    <t>2025-11-07</t>
  </si>
  <si>
    <t>C048</t>
  </si>
  <si>
    <t>2026-03-31</t>
  </si>
  <si>
    <t>2026-07-01</t>
  </si>
  <si>
    <t>C049</t>
  </si>
  <si>
    <t>2025-10-12</t>
  </si>
  <si>
    <t>2025-12-23</t>
  </si>
  <si>
    <t>C050</t>
  </si>
  <si>
    <t>2025-11-22</t>
  </si>
  <si>
    <t>2026-03-14</t>
  </si>
  <si>
    <t>C051</t>
  </si>
  <si>
    <t>2025-06-08</t>
  </si>
  <si>
    <t>2025-09-04</t>
  </si>
  <si>
    <t>C052</t>
  </si>
  <si>
    <t>2025-04-01</t>
  </si>
  <si>
    <t>2025-04-09</t>
  </si>
  <si>
    <t>C053</t>
  </si>
  <si>
    <t>2026-04-25</t>
  </si>
  <si>
    <t>2026-04-26</t>
  </si>
  <si>
    <t>C054</t>
  </si>
  <si>
    <t>2025-05-05</t>
  </si>
  <si>
    <t>2025-06-28</t>
  </si>
  <si>
    <t>C055</t>
  </si>
  <si>
    <t>2025-06-20</t>
  </si>
  <si>
    <t>2025-09-06</t>
  </si>
  <si>
    <t>C056</t>
  </si>
  <si>
    <t>2026-04-16</t>
  </si>
  <si>
    <t>2026-06-27</t>
  </si>
  <si>
    <t>C057</t>
  </si>
  <si>
    <t>2026-03-12</t>
  </si>
  <si>
    <t>2026-07-08</t>
  </si>
  <si>
    <t>C058</t>
  </si>
  <si>
    <t>2025-08-10</t>
  </si>
  <si>
    <t>C059</t>
  </si>
  <si>
    <t>2025-02-08</t>
  </si>
  <si>
    <t>2025-04-14</t>
  </si>
  <si>
    <t>C060</t>
  </si>
  <si>
    <t>Milk</t>
  </si>
  <si>
    <t>2025-03-07</t>
  </si>
  <si>
    <t>2025-06-01</t>
  </si>
  <si>
    <t>C061</t>
  </si>
  <si>
    <t>2025-05-22</t>
  </si>
  <si>
    <t>2025-07-23</t>
  </si>
  <si>
    <t>C062</t>
  </si>
  <si>
    <t>2025-03-17</t>
  </si>
  <si>
    <t>2025-06-12</t>
  </si>
  <si>
    <t>C063</t>
  </si>
  <si>
    <t>2025-08-28</t>
  </si>
  <si>
    <t>2025-10-03</t>
  </si>
  <si>
    <t>C064</t>
  </si>
  <si>
    <t>2025-08-24</t>
  </si>
  <si>
    <t>C065</t>
  </si>
  <si>
    <t>2025-01-19</t>
  </si>
  <si>
    <t>2025-02-20</t>
  </si>
  <si>
    <t>C066</t>
  </si>
  <si>
    <t>2025-11-20</t>
  </si>
  <si>
    <t>2026-03-18</t>
  </si>
  <si>
    <t>C067</t>
  </si>
  <si>
    <t>2025-12-16</t>
  </si>
  <si>
    <t>C068</t>
  </si>
  <si>
    <t>2025-07-07</t>
  </si>
  <si>
    <t>2025-09-14</t>
  </si>
  <si>
    <t>C069</t>
  </si>
  <si>
    <t>2025-04-10</t>
  </si>
  <si>
    <t>2025-06-22</t>
  </si>
  <si>
    <t>C070</t>
  </si>
  <si>
    <t>2025-07-11</t>
  </si>
  <si>
    <t>C071</t>
  </si>
  <si>
    <t>2026-05-02</t>
  </si>
  <si>
    <t>2026-05-25</t>
  </si>
  <si>
    <t>C072</t>
  </si>
  <si>
    <t>2026-02-01</t>
  </si>
  <si>
    <t>2026-05-12</t>
  </si>
  <si>
    <t>C073</t>
  </si>
  <si>
    <t>C074</t>
  </si>
  <si>
    <t>2025-12-17</t>
  </si>
  <si>
    <t>2026-02-10</t>
  </si>
  <si>
    <t>C075</t>
  </si>
  <si>
    <t>2025-01-21</t>
  </si>
  <si>
    <t>2025-04-13</t>
  </si>
  <si>
    <t>C076</t>
  </si>
  <si>
    <t>2026-05-10</t>
  </si>
  <si>
    <t>C077</t>
  </si>
  <si>
    <t>2025-09-10</t>
  </si>
  <si>
    <t>2025-11-02</t>
  </si>
  <si>
    <t>C078</t>
  </si>
  <si>
    <t>2025-06-26</t>
  </si>
  <si>
    <t>2025-09-15</t>
  </si>
  <si>
    <t>C079</t>
  </si>
  <si>
    <t>2025-12-21</t>
  </si>
  <si>
    <t>2026-04-10</t>
  </si>
  <si>
    <t>C080</t>
  </si>
  <si>
    <t>2025-10-25</t>
  </si>
  <si>
    <t>2025-11-23</t>
  </si>
  <si>
    <t>C081</t>
  </si>
  <si>
    <t>2026-03-06</t>
  </si>
  <si>
    <t>2026-06-26</t>
  </si>
  <si>
    <t>C082</t>
  </si>
  <si>
    <t>2025-09-30</t>
  </si>
  <si>
    <t>2026-01-03</t>
  </si>
  <si>
    <t>C083</t>
  </si>
  <si>
    <t>2025-06-13</t>
  </si>
  <si>
    <t>2025-07-01</t>
  </si>
  <si>
    <t>C084</t>
  </si>
  <si>
    <t>2025-11-05</t>
  </si>
  <si>
    <t>2026-02-02</t>
  </si>
  <si>
    <t>C085</t>
  </si>
  <si>
    <t>C086</t>
  </si>
  <si>
    <t>2025-02-01</t>
  </si>
  <si>
    <t>C087</t>
  </si>
  <si>
    <t>2025-03-20</t>
  </si>
  <si>
    <t>C088</t>
  </si>
  <si>
    <t>2025-11-25</t>
  </si>
  <si>
    <t>C089</t>
  </si>
  <si>
    <t>2026-01-19</t>
  </si>
  <si>
    <t>2026-03-29</t>
  </si>
  <si>
    <t>C090</t>
  </si>
  <si>
    <t>2026-05-04</t>
  </si>
  <si>
    <t>C091</t>
  </si>
  <si>
    <t>2025-05-06</t>
  </si>
  <si>
    <t>C092</t>
  </si>
  <si>
    <t>2025-10-22</t>
  </si>
  <si>
    <t>2025-11-19</t>
  </si>
  <si>
    <t>C093</t>
  </si>
  <si>
    <t>C094</t>
  </si>
  <si>
    <t>2025-05-29</t>
  </si>
  <si>
    <t>C095</t>
  </si>
  <si>
    <t>2025-01-12</t>
  </si>
  <si>
    <t>C096</t>
  </si>
  <si>
    <t>2025-09-23</t>
  </si>
  <si>
    <t>2025-11-29</t>
  </si>
  <si>
    <t>C097</t>
  </si>
  <si>
    <t>2026-05-31</t>
  </si>
  <si>
    <t>C098</t>
  </si>
  <si>
    <t>2025-10-19</t>
  </si>
  <si>
    <t>C099</t>
  </si>
  <si>
    <t>2025-01-30</t>
  </si>
  <si>
    <t>C100</t>
  </si>
  <si>
    <t>2025-04-05</t>
  </si>
  <si>
    <t>2025-08-01</t>
  </si>
  <si>
    <t>C101</t>
  </si>
  <si>
    <t>2025-06-10</t>
  </si>
  <si>
    <t>C102</t>
  </si>
  <si>
    <t>C103</t>
  </si>
  <si>
    <t>2025-04-06</t>
  </si>
  <si>
    <t>2025-06-27</t>
  </si>
  <si>
    <t>C104</t>
  </si>
  <si>
    <t>2025-03-05</t>
  </si>
  <si>
    <t>2025-03-24</t>
  </si>
  <si>
    <t>C105</t>
  </si>
  <si>
    <t>2025-12-19</t>
  </si>
  <si>
    <t>C106</t>
  </si>
  <si>
    <t>2026-02-25</t>
  </si>
  <si>
    <t>C107</t>
  </si>
  <si>
    <t>2026-03-26</t>
  </si>
  <si>
    <t>2026-05-24</t>
  </si>
  <si>
    <t>C108</t>
  </si>
  <si>
    <t>2025-10-06</t>
  </si>
  <si>
    <t>C109</t>
  </si>
  <si>
    <t>2025-08-17</t>
  </si>
  <si>
    <t>2025-12-07</t>
  </si>
  <si>
    <t>C110</t>
  </si>
  <si>
    <t>2025-11-09</t>
  </si>
  <si>
    <t>C111</t>
  </si>
  <si>
    <t>2025-12-14</t>
  </si>
  <si>
    <t>2025-12-27</t>
  </si>
  <si>
    <t>C112</t>
  </si>
  <si>
    <t>2025-08-06</t>
  </si>
  <si>
    <t>2025-08-29</t>
  </si>
  <si>
    <t>C113</t>
  </si>
  <si>
    <t>2026-01-22</t>
  </si>
  <si>
    <t>C114</t>
  </si>
  <si>
    <t>2025-06-03</t>
  </si>
  <si>
    <t>2025-07-19</t>
  </si>
  <si>
    <t>C115</t>
  </si>
  <si>
    <t>C116</t>
  </si>
  <si>
    <t>C117</t>
  </si>
  <si>
    <t>2025-07-14</t>
  </si>
  <si>
    <t>2025-09-16</t>
  </si>
  <si>
    <t>C118</t>
  </si>
  <si>
    <t>2025-06-02</t>
  </si>
  <si>
    <t>C119</t>
  </si>
  <si>
    <t>2026-07-06</t>
  </si>
  <si>
    <t>C120</t>
  </si>
  <si>
    <t>2025-02-23</t>
  </si>
  <si>
    <t>C121</t>
  </si>
  <si>
    <t>2026-04-23</t>
  </si>
  <si>
    <t>2026-07-29</t>
  </si>
  <si>
    <t>C122</t>
  </si>
  <si>
    <t>C123</t>
  </si>
  <si>
    <t>C124</t>
  </si>
  <si>
    <t>C125</t>
  </si>
  <si>
    <t>C126</t>
  </si>
  <si>
    <t>2026-01-08</t>
  </si>
  <si>
    <t>2026-01-24</t>
  </si>
  <si>
    <t>C127</t>
  </si>
  <si>
    <t>2026-02-20</t>
  </si>
  <si>
    <t>2026-05-03</t>
  </si>
  <si>
    <t>C128</t>
  </si>
  <si>
    <t>2025-05-14</t>
  </si>
  <si>
    <t>C129</t>
  </si>
  <si>
    <t>2025-02-14</t>
  </si>
  <si>
    <t>C130</t>
  </si>
  <si>
    <t>2025-05-15</t>
  </si>
  <si>
    <t>2025-09-08</t>
  </si>
  <si>
    <t>C131</t>
  </si>
  <si>
    <t>2025-04-12</t>
  </si>
  <si>
    <t>2025-06-15</t>
  </si>
  <si>
    <t>C132</t>
  </si>
  <si>
    <t>2025-05-04</t>
  </si>
  <si>
    <t>C133</t>
  </si>
  <si>
    <t>2025-11-01</t>
  </si>
  <si>
    <t>C134</t>
  </si>
  <si>
    <t>2025-07-02</t>
  </si>
  <si>
    <t>C135</t>
  </si>
  <si>
    <t>2025-01-15</t>
  </si>
  <si>
    <t>2025-01-31</t>
  </si>
  <si>
    <t>C136</t>
  </si>
  <si>
    <t>2025-12-28</t>
  </si>
  <si>
    <t>C137</t>
  </si>
  <si>
    <t>2025-05-02</t>
  </si>
  <si>
    <t>C138</t>
  </si>
  <si>
    <t>2026-01-21</t>
  </si>
  <si>
    <t>C139</t>
  </si>
  <si>
    <t>2026-05-11</t>
  </si>
  <si>
    <t>2026-07-25</t>
  </si>
  <si>
    <t>C140</t>
  </si>
  <si>
    <t>2025-06-25</t>
  </si>
  <si>
    <t>C141</t>
  </si>
  <si>
    <t>2025-11-10</t>
  </si>
  <si>
    <t>2026-01-04</t>
  </si>
  <si>
    <t>C142</t>
  </si>
  <si>
    <t>2025-04-04</t>
  </si>
  <si>
    <t>C143</t>
  </si>
  <si>
    <t>2025-08-31</t>
  </si>
  <si>
    <t>C144</t>
  </si>
  <si>
    <t>2025-05-03</t>
  </si>
  <si>
    <t>2025-07-04</t>
  </si>
  <si>
    <t>C145</t>
  </si>
  <si>
    <t>C146</t>
  </si>
  <si>
    <t>2025-01-16</t>
  </si>
  <si>
    <t>2025-03-29</t>
  </si>
  <si>
    <t>C147</t>
  </si>
  <si>
    <t>2025-08-27</t>
  </si>
  <si>
    <t>C148</t>
  </si>
  <si>
    <t>2025-04-19</t>
  </si>
  <si>
    <t>C149</t>
  </si>
  <si>
    <t>2025-07-31</t>
  </si>
  <si>
    <t>C150</t>
  </si>
  <si>
    <t>2025-07-18</t>
  </si>
  <si>
    <t>C151</t>
  </si>
  <si>
    <t>2026-02-04</t>
  </si>
  <si>
    <t>2026-02-13</t>
  </si>
  <si>
    <t>C152</t>
  </si>
  <si>
    <t>C153</t>
  </si>
  <si>
    <t>2026-02-18</t>
  </si>
  <si>
    <t>C154</t>
  </si>
  <si>
    <t>C155</t>
  </si>
  <si>
    <t>2025-06-18</t>
  </si>
  <si>
    <t>C156</t>
  </si>
  <si>
    <t>2026-02-07</t>
  </si>
  <si>
    <t>C157</t>
  </si>
  <si>
    <t>2025-03-14</t>
  </si>
  <si>
    <t>2025-05-12</t>
  </si>
  <si>
    <t>C158</t>
  </si>
  <si>
    <t>2026-03-23</t>
  </si>
  <si>
    <t>2026-04-19</t>
  </si>
  <si>
    <t>C159</t>
  </si>
  <si>
    <t>C160</t>
  </si>
  <si>
    <t>2026-01-12</t>
  </si>
  <si>
    <t>C161</t>
  </si>
  <si>
    <t>C162</t>
  </si>
  <si>
    <t>2026-04-27</t>
  </si>
  <si>
    <t>C163</t>
  </si>
  <si>
    <t>2025-10-18</t>
  </si>
  <si>
    <t>C164</t>
  </si>
  <si>
    <t>2026-01-28</t>
  </si>
  <si>
    <t>C165</t>
  </si>
  <si>
    <t>2025-10-17</t>
  </si>
  <si>
    <t>C166</t>
  </si>
  <si>
    <t>C167</t>
  </si>
  <si>
    <t>2026-02-14</t>
  </si>
  <si>
    <t>C168</t>
  </si>
  <si>
    <t>2025-10-23</t>
  </si>
  <si>
    <t>C169</t>
  </si>
  <si>
    <t>2025-10-26</t>
  </si>
  <si>
    <t>C170</t>
  </si>
  <si>
    <t>2025-11-26</t>
  </si>
  <si>
    <t>C171</t>
  </si>
  <si>
    <t>2026-03-11</t>
  </si>
  <si>
    <t>C172</t>
  </si>
  <si>
    <t>2025-04-27</t>
  </si>
  <si>
    <t>C173</t>
  </si>
  <si>
    <t>2025-06-19</t>
  </si>
  <si>
    <t>2025-07-15</t>
  </si>
  <si>
    <t>C174</t>
  </si>
  <si>
    <t>2026-04-22</t>
  </si>
  <si>
    <t>C175</t>
  </si>
  <si>
    <t>C176</t>
  </si>
  <si>
    <t>2025-01-25</t>
  </si>
  <si>
    <t>C177</t>
  </si>
  <si>
    <t>2025-12-12</t>
  </si>
  <si>
    <t>C178</t>
  </si>
  <si>
    <t>C179</t>
  </si>
  <si>
    <t>2026-02-22</t>
  </si>
  <si>
    <t>C180</t>
  </si>
  <si>
    <t>2026-04-01</t>
  </si>
  <si>
    <t>C181</t>
  </si>
  <si>
    <t>2025-08-30</t>
  </si>
  <si>
    <t>C182</t>
  </si>
  <si>
    <t>C183</t>
  </si>
  <si>
    <t>2025-05-13</t>
  </si>
  <si>
    <t>C184</t>
  </si>
  <si>
    <t>2025-04-20</t>
  </si>
  <si>
    <t>C185</t>
  </si>
  <si>
    <t>2025-03-10</t>
  </si>
  <si>
    <t>C186</t>
  </si>
  <si>
    <t>2025-04-30</t>
  </si>
  <si>
    <t>2025-05-18</t>
  </si>
  <si>
    <t>C187</t>
  </si>
  <si>
    <t>2026-05-26</t>
  </si>
  <si>
    <t>C188</t>
  </si>
  <si>
    <t>2025-02-05</t>
  </si>
  <si>
    <t>2025-04-16</t>
  </si>
  <si>
    <t>C189</t>
  </si>
  <si>
    <t>C190</t>
  </si>
  <si>
    <t>2025-11-28</t>
  </si>
  <si>
    <t>C191</t>
  </si>
  <si>
    <t>2026-05-30</t>
  </si>
  <si>
    <t>C192</t>
  </si>
  <si>
    <t>2026-03-09</t>
  </si>
  <si>
    <t>C193</t>
  </si>
  <si>
    <t>C194</t>
  </si>
  <si>
    <t>C195</t>
  </si>
  <si>
    <t>2025-12-20</t>
  </si>
  <si>
    <t>2026-04-08</t>
  </si>
  <si>
    <t>C196</t>
  </si>
  <si>
    <t>2026-03-13</t>
  </si>
  <si>
    <t>2026-05-19</t>
  </si>
  <si>
    <t>C197</t>
  </si>
  <si>
    <t>C198</t>
  </si>
  <si>
    <t>C199</t>
  </si>
  <si>
    <t>2025-05-28</t>
  </si>
  <si>
    <t>C200</t>
  </si>
  <si>
    <t>2025-04-08</t>
  </si>
  <si>
    <t>2025-07-29</t>
  </si>
  <si>
    <t>Age Group</t>
  </si>
  <si>
    <t>Month</t>
  </si>
  <si>
    <t>Quarter</t>
  </si>
  <si>
    <t>Year</t>
  </si>
  <si>
    <t>Revenue Band</t>
  </si>
  <si>
    <t>Discount Status</t>
  </si>
  <si>
    <t>Customer Value</t>
  </si>
  <si>
    <t>Days Since Last Purchase</t>
  </si>
  <si>
    <t>Customer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</si>
</sst>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03"/>
  <sheetViews>
    <sheetView tabSelected="1" topLeftCell="T190" workbookViewId="0">
      <selection activeCell="AC2" sqref="AC2:AC201"/>
    </sheetView>
  </sheetViews>
  <sheetFormatPr defaultRowHeight="14.4" x14ac:dyDescent="0.3"/>
  <cols>
    <col min="28" max="28" width="10.332031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3" t="s">
        <v>19</v>
      </c>
      <c r="U1" t="s">
        <v>581</v>
      </c>
      <c r="V1" t="s">
        <v>582</v>
      </c>
      <c r="W1" t="s">
        <v>583</v>
      </c>
      <c r="X1" t="s">
        <v>584</v>
      </c>
      <c r="Y1" t="s">
        <v>585</v>
      </c>
      <c r="Z1" t="s">
        <v>586</v>
      </c>
      <c r="AA1" t="s">
        <v>587</v>
      </c>
      <c r="AB1" t="s">
        <v>588</v>
      </c>
      <c r="AC1" t="s">
        <v>589</v>
      </c>
    </row>
    <row r="2" spans="1:29" x14ac:dyDescent="0.3">
      <c r="A2" t="s">
        <v>20</v>
      </c>
      <c r="B2" t="s">
        <v>21</v>
      </c>
      <c r="C2">
        <v>51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>
        <v>2</v>
      </c>
      <c r="L2">
        <v>250.26</v>
      </c>
      <c r="M2">
        <v>500.52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s="2" t="s">
        <v>35</v>
      </c>
      <c r="U2" t="str">
        <f>IF(C2&lt;=25,"18-25",
IF(C2&lt;=35,"26-35",
IF(C2&lt;=45,"36-45",
IF(C2&lt;=55,"46-55","55+"))))</f>
        <v>46-55</v>
      </c>
      <c r="V2" t="str">
        <f>TEXT(J2,"MMMM")</f>
        <v>February</v>
      </c>
      <c r="W2" t="str">
        <f>"Q"&amp;ROUNDUP(MONTH(J2)/3,0)</f>
        <v>Q1</v>
      </c>
      <c r="X2">
        <f>YEAR(J2)</f>
        <v>2026</v>
      </c>
      <c r="Y2" t="str">
        <f>IF(M2&lt;1000,"Low",
IF(M2&lt;5000,"Medium","High"))</f>
        <v>Low</v>
      </c>
      <c r="Z2" t="str">
        <f>IF(R2="Yes","Discount Buyer","Regular Buyer")</f>
        <v>Discount Buyer</v>
      </c>
      <c r="AA2" t="str">
        <f>IF(M2&gt;=10000,"VIP",
IF(M2&gt;=5000,"Premium","Regular"))</f>
        <v>Regular</v>
      </c>
      <c r="AB2" s="4">
        <f ca="1">TODAY()-DATEVALUE(T2)</f>
        <v>28</v>
      </c>
      <c r="AC2" t="str">
        <f ca="1">IF(AB2&lt;=30,"Active",IF(AB2&lt;=180,"At Risk","Churn Risk"))</f>
        <v>Active</v>
      </c>
    </row>
    <row r="3" spans="1:29" x14ac:dyDescent="0.3">
      <c r="A3" t="s">
        <v>36</v>
      </c>
      <c r="B3" t="s">
        <v>37</v>
      </c>
      <c r="C3">
        <v>54</v>
      </c>
      <c r="D3" t="s">
        <v>38</v>
      </c>
      <c r="E3" t="s">
        <v>39</v>
      </c>
      <c r="F3" t="s">
        <v>40</v>
      </c>
      <c r="G3" t="s">
        <v>25</v>
      </c>
      <c r="H3" t="s">
        <v>41</v>
      </c>
      <c r="I3" t="s">
        <v>42</v>
      </c>
      <c r="J3" t="s">
        <v>43</v>
      </c>
      <c r="K3">
        <v>1</v>
      </c>
      <c r="L3">
        <v>2322.1799999999998</v>
      </c>
      <c r="M3">
        <v>2322.1799999999998</v>
      </c>
      <c r="N3" t="s">
        <v>29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  <c r="T3" s="2" t="s">
        <v>49</v>
      </c>
      <c r="U3" t="str">
        <f t="shared" ref="U3:U66" si="0">IF(C3&lt;=25,"18-25",
IF(C3&lt;=35,"26-35",
IF(C3&lt;=45,"36-45",
IF(C3&lt;=55,"46-55","55+"))))</f>
        <v>46-55</v>
      </c>
      <c r="V3" t="str">
        <f t="shared" ref="V3:V66" si="1">TEXT(J3,"MMMM")</f>
        <v>February</v>
      </c>
      <c r="W3" t="str">
        <f t="shared" ref="W3:W66" si="2">"Q"&amp;ROUNDUP(MONTH(J3)/3,0)</f>
        <v>Q1</v>
      </c>
      <c r="X3">
        <f t="shared" ref="X3:X66" si="3">YEAR(J3)</f>
        <v>2026</v>
      </c>
      <c r="Y3" t="str">
        <f>IF(M2&lt;1000,"Low",
IF(M2&lt;5000,"Medium","High"))</f>
        <v>Low</v>
      </c>
      <c r="Z3" t="str">
        <f t="shared" ref="Z3:Z66" si="4">IF(R3="Yes","Discount Buyer","Regular Buyer")</f>
        <v>Regular Buyer</v>
      </c>
      <c r="AA3" t="str">
        <f t="shared" ref="AA3:AA66" si="5">IF(M3&gt;=10000,"VIP",
IF(M3&gt;=5000,"Premium","Regular"))</f>
        <v>Regular</v>
      </c>
      <c r="AB3" s="4">
        <f t="shared" ref="AB3:AB66" ca="1" si="6">TODAY()-DATEVALUE(T3)</f>
        <v>94</v>
      </c>
      <c r="AC3" t="str">
        <f t="shared" ref="AC3:AC66" ca="1" si="7">IF(AB3&lt;=30,"Active",IF(AB3&lt;=180,"At Risk","Churn Risk"))</f>
        <v>At Risk</v>
      </c>
    </row>
    <row r="4" spans="1:29" x14ac:dyDescent="0.3">
      <c r="A4" t="s">
        <v>50</v>
      </c>
      <c r="B4" t="s">
        <v>51</v>
      </c>
      <c r="C4">
        <v>57</v>
      </c>
      <c r="D4" t="s">
        <v>22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>
        <v>3</v>
      </c>
      <c r="L4">
        <v>1363.28</v>
      </c>
      <c r="M4">
        <v>4089.84</v>
      </c>
      <c r="N4" t="s">
        <v>58</v>
      </c>
      <c r="O4" t="s">
        <v>44</v>
      </c>
      <c r="P4" t="s">
        <v>31</v>
      </c>
      <c r="Q4" t="s">
        <v>59</v>
      </c>
      <c r="R4" t="s">
        <v>33</v>
      </c>
      <c r="S4" t="s">
        <v>34</v>
      </c>
      <c r="T4" s="2" t="s">
        <v>60</v>
      </c>
      <c r="U4" t="str">
        <f t="shared" si="0"/>
        <v>55+</v>
      </c>
      <c r="V4" t="str">
        <f t="shared" si="1"/>
        <v>March</v>
      </c>
      <c r="W4" t="str">
        <f t="shared" si="2"/>
        <v>Q1</v>
      </c>
      <c r="X4">
        <f t="shared" si="3"/>
        <v>2025</v>
      </c>
      <c r="Y4" t="str">
        <f t="shared" ref="Y4:Y67" si="8">IF(M3&lt;1000,"Low",
IF(M3&lt;5000,"Medium","High"))</f>
        <v>Medium</v>
      </c>
      <c r="Z4" t="str">
        <f t="shared" si="4"/>
        <v>Discount Buyer</v>
      </c>
      <c r="AA4" t="str">
        <f t="shared" si="5"/>
        <v>Regular</v>
      </c>
      <c r="AB4" s="4">
        <f t="shared" ca="1" si="6"/>
        <v>362</v>
      </c>
      <c r="AC4" t="str">
        <f t="shared" ca="1" si="7"/>
        <v>Churn Risk</v>
      </c>
    </row>
    <row r="5" spans="1:29" x14ac:dyDescent="0.3">
      <c r="A5" t="s">
        <v>61</v>
      </c>
      <c r="B5" t="s">
        <v>37</v>
      </c>
      <c r="C5">
        <v>30</v>
      </c>
      <c r="D5" t="s">
        <v>38</v>
      </c>
      <c r="E5" t="s">
        <v>62</v>
      </c>
      <c r="F5" t="s">
        <v>53</v>
      </c>
      <c r="G5" t="s">
        <v>63</v>
      </c>
      <c r="H5" t="s">
        <v>64</v>
      </c>
      <c r="I5" t="s">
        <v>65</v>
      </c>
      <c r="J5" t="s">
        <v>66</v>
      </c>
      <c r="K5">
        <v>3</v>
      </c>
      <c r="L5">
        <v>1952.56</v>
      </c>
      <c r="M5">
        <v>5857.68</v>
      </c>
      <c r="N5" t="s">
        <v>67</v>
      </c>
      <c r="O5" t="s">
        <v>44</v>
      </c>
      <c r="P5" t="s">
        <v>68</v>
      </c>
      <c r="Q5" t="s">
        <v>59</v>
      </c>
      <c r="R5" t="s">
        <v>33</v>
      </c>
      <c r="S5" t="s">
        <v>48</v>
      </c>
      <c r="T5" s="2" t="s">
        <v>69</v>
      </c>
      <c r="U5" t="str">
        <f t="shared" si="0"/>
        <v>26-35</v>
      </c>
      <c r="V5" t="str">
        <f t="shared" si="1"/>
        <v>March</v>
      </c>
      <c r="W5" t="str">
        <f t="shared" si="2"/>
        <v>Q1</v>
      </c>
      <c r="X5">
        <f t="shared" si="3"/>
        <v>2025</v>
      </c>
      <c r="Y5" t="str">
        <f t="shared" si="8"/>
        <v>Medium</v>
      </c>
      <c r="Z5" t="str">
        <f t="shared" si="4"/>
        <v>Discount Buyer</v>
      </c>
      <c r="AA5" t="str">
        <f t="shared" si="5"/>
        <v>Premium</v>
      </c>
      <c r="AB5" s="4">
        <f t="shared" ca="1" si="6"/>
        <v>395</v>
      </c>
      <c r="AC5" t="str">
        <f t="shared" ca="1" si="7"/>
        <v>Churn Risk</v>
      </c>
    </row>
    <row r="6" spans="1:29" x14ac:dyDescent="0.3">
      <c r="A6" t="s">
        <v>70</v>
      </c>
      <c r="B6" t="s">
        <v>71</v>
      </c>
      <c r="C6">
        <v>49</v>
      </c>
      <c r="D6" t="s">
        <v>22</v>
      </c>
      <c r="E6" t="s">
        <v>39</v>
      </c>
      <c r="F6" t="s">
        <v>40</v>
      </c>
      <c r="G6" t="s">
        <v>72</v>
      </c>
      <c r="H6" t="s">
        <v>55</v>
      </c>
      <c r="I6" t="s">
        <v>56</v>
      </c>
      <c r="J6" t="s">
        <v>73</v>
      </c>
      <c r="K6">
        <v>5</v>
      </c>
      <c r="L6">
        <v>2306.64</v>
      </c>
      <c r="M6">
        <v>11533.2</v>
      </c>
      <c r="N6" t="s">
        <v>58</v>
      </c>
      <c r="O6" t="s">
        <v>44</v>
      </c>
      <c r="P6" t="s">
        <v>74</v>
      </c>
      <c r="Q6" t="s">
        <v>46</v>
      </c>
      <c r="R6" t="s">
        <v>33</v>
      </c>
      <c r="S6" t="s">
        <v>48</v>
      </c>
      <c r="T6" s="2" t="s">
        <v>75</v>
      </c>
      <c r="U6" t="str">
        <f t="shared" si="0"/>
        <v>46-55</v>
      </c>
      <c r="V6" t="str">
        <f t="shared" si="1"/>
        <v>December</v>
      </c>
      <c r="W6" t="str">
        <f t="shared" si="2"/>
        <v>Q4</v>
      </c>
      <c r="X6">
        <f t="shared" si="3"/>
        <v>2025</v>
      </c>
      <c r="Y6" t="str">
        <f t="shared" si="8"/>
        <v>High</v>
      </c>
      <c r="Z6" t="str">
        <f t="shared" si="4"/>
        <v>Discount Buyer</v>
      </c>
      <c r="AA6" t="str">
        <f t="shared" si="5"/>
        <v>VIP</v>
      </c>
      <c r="AB6" s="4">
        <f t="shared" ca="1" si="6"/>
        <v>105</v>
      </c>
      <c r="AC6" t="str">
        <f t="shared" ca="1" si="7"/>
        <v>At Risk</v>
      </c>
    </row>
    <row r="7" spans="1:29" x14ac:dyDescent="0.3">
      <c r="A7" t="s">
        <v>76</v>
      </c>
      <c r="B7" t="s">
        <v>77</v>
      </c>
      <c r="C7">
        <v>29</v>
      </c>
      <c r="D7" t="s">
        <v>22</v>
      </c>
      <c r="E7" t="s">
        <v>78</v>
      </c>
      <c r="F7" t="s">
        <v>79</v>
      </c>
      <c r="G7" t="s">
        <v>80</v>
      </c>
      <c r="H7" t="s">
        <v>41</v>
      </c>
      <c r="I7" t="s">
        <v>81</v>
      </c>
      <c r="J7" t="s">
        <v>82</v>
      </c>
      <c r="K7">
        <v>8</v>
      </c>
      <c r="L7">
        <v>4802.22</v>
      </c>
      <c r="M7">
        <v>38417.760000000002</v>
      </c>
      <c r="N7" t="s">
        <v>67</v>
      </c>
      <c r="O7" t="s">
        <v>44</v>
      </c>
      <c r="P7" t="s">
        <v>74</v>
      </c>
      <c r="Q7" t="s">
        <v>32</v>
      </c>
      <c r="R7" t="s">
        <v>47</v>
      </c>
      <c r="S7" t="s">
        <v>83</v>
      </c>
      <c r="T7" s="2" t="s">
        <v>84</v>
      </c>
      <c r="U7" t="str">
        <f t="shared" si="0"/>
        <v>26-35</v>
      </c>
      <c r="V7" t="str">
        <f t="shared" si="1"/>
        <v>January</v>
      </c>
      <c r="W7" t="str">
        <f t="shared" si="2"/>
        <v>Q1</v>
      </c>
      <c r="X7">
        <f t="shared" si="3"/>
        <v>2026</v>
      </c>
      <c r="Y7" t="str">
        <f t="shared" si="8"/>
        <v>High</v>
      </c>
      <c r="Z7" t="str">
        <f t="shared" si="4"/>
        <v>Regular Buyer</v>
      </c>
      <c r="AA7" t="str">
        <f t="shared" si="5"/>
        <v>VIP</v>
      </c>
      <c r="AB7" s="4">
        <f t="shared" ca="1" si="6"/>
        <v>65</v>
      </c>
      <c r="AC7" t="str">
        <f t="shared" ca="1" si="7"/>
        <v>At Risk</v>
      </c>
    </row>
    <row r="8" spans="1:29" x14ac:dyDescent="0.3">
      <c r="A8" t="s">
        <v>85</v>
      </c>
      <c r="B8" t="s">
        <v>86</v>
      </c>
      <c r="C8">
        <v>56</v>
      </c>
      <c r="D8" t="s">
        <v>38</v>
      </c>
      <c r="E8" t="s">
        <v>87</v>
      </c>
      <c r="F8" t="s">
        <v>79</v>
      </c>
      <c r="G8" t="s">
        <v>72</v>
      </c>
      <c r="H8" t="s">
        <v>41</v>
      </c>
      <c r="I8" t="s">
        <v>42</v>
      </c>
      <c r="J8" t="s">
        <v>88</v>
      </c>
      <c r="K8">
        <v>2</v>
      </c>
      <c r="L8">
        <v>4082.02</v>
      </c>
      <c r="M8">
        <v>8164.04</v>
      </c>
      <c r="N8" t="s">
        <v>67</v>
      </c>
      <c r="O8" t="s">
        <v>44</v>
      </c>
      <c r="P8" t="s">
        <v>68</v>
      </c>
      <c r="Q8" t="s">
        <v>46</v>
      </c>
      <c r="R8" t="s">
        <v>47</v>
      </c>
      <c r="S8" t="s">
        <v>34</v>
      </c>
      <c r="T8" s="2" t="s">
        <v>89</v>
      </c>
      <c r="U8" t="str">
        <f t="shared" si="0"/>
        <v>55+</v>
      </c>
      <c r="V8" t="str">
        <f t="shared" si="1"/>
        <v>December</v>
      </c>
      <c r="W8" t="str">
        <f t="shared" si="2"/>
        <v>Q4</v>
      </c>
      <c r="X8">
        <f t="shared" si="3"/>
        <v>2025</v>
      </c>
      <c r="Y8" t="str">
        <f t="shared" si="8"/>
        <v>High</v>
      </c>
      <c r="Z8" t="str">
        <f t="shared" si="4"/>
        <v>Regular Buyer</v>
      </c>
      <c r="AA8" t="str">
        <f t="shared" si="5"/>
        <v>Premium</v>
      </c>
      <c r="AB8" s="4">
        <f t="shared" ca="1" si="6"/>
        <v>164</v>
      </c>
      <c r="AC8" t="str">
        <f t="shared" ca="1" si="7"/>
        <v>At Risk</v>
      </c>
    </row>
    <row r="9" spans="1:29" x14ac:dyDescent="0.3">
      <c r="A9" t="s">
        <v>90</v>
      </c>
      <c r="B9" t="s">
        <v>86</v>
      </c>
      <c r="C9">
        <v>39</v>
      </c>
      <c r="D9" t="s">
        <v>38</v>
      </c>
      <c r="E9" t="s">
        <v>78</v>
      </c>
      <c r="F9" t="s">
        <v>79</v>
      </c>
      <c r="G9" t="s">
        <v>91</v>
      </c>
      <c r="H9" t="s">
        <v>64</v>
      </c>
      <c r="I9" t="s">
        <v>65</v>
      </c>
      <c r="J9" t="s">
        <v>92</v>
      </c>
      <c r="K9">
        <v>5</v>
      </c>
      <c r="L9">
        <v>1634.49</v>
      </c>
      <c r="M9">
        <v>8172.45</v>
      </c>
      <c r="N9" t="s">
        <v>67</v>
      </c>
      <c r="O9" t="s">
        <v>30</v>
      </c>
      <c r="P9" t="s">
        <v>31</v>
      </c>
      <c r="Q9" t="s">
        <v>32</v>
      </c>
      <c r="R9" t="s">
        <v>47</v>
      </c>
      <c r="S9" t="s">
        <v>34</v>
      </c>
      <c r="T9" t="s">
        <v>93</v>
      </c>
      <c r="U9" t="str">
        <f t="shared" si="0"/>
        <v>36-45</v>
      </c>
      <c r="V9" t="str">
        <f t="shared" si="1"/>
        <v>July</v>
      </c>
      <c r="W9" t="str">
        <f t="shared" si="2"/>
        <v>Q3</v>
      </c>
      <c r="X9">
        <f t="shared" si="3"/>
        <v>2025</v>
      </c>
      <c r="Y9" t="str">
        <f t="shared" si="8"/>
        <v>High</v>
      </c>
      <c r="Z9" t="str">
        <f t="shared" si="4"/>
        <v>Regular Buyer</v>
      </c>
      <c r="AA9" t="str">
        <f t="shared" si="5"/>
        <v>Premium</v>
      </c>
      <c r="AB9" s="4">
        <f t="shared" ca="1" si="6"/>
        <v>317</v>
      </c>
      <c r="AC9" t="str">
        <f t="shared" ca="1" si="7"/>
        <v>Churn Risk</v>
      </c>
    </row>
    <row r="10" spans="1:29" x14ac:dyDescent="0.3">
      <c r="A10" t="s">
        <v>94</v>
      </c>
      <c r="B10" t="s">
        <v>95</v>
      </c>
      <c r="C10">
        <v>51</v>
      </c>
      <c r="D10" t="s">
        <v>22</v>
      </c>
      <c r="E10" t="s">
        <v>39</v>
      </c>
      <c r="F10" t="s">
        <v>40</v>
      </c>
      <c r="G10" t="s">
        <v>91</v>
      </c>
      <c r="H10" t="s">
        <v>55</v>
      </c>
      <c r="I10" t="s">
        <v>96</v>
      </c>
      <c r="J10" t="s">
        <v>97</v>
      </c>
      <c r="K10">
        <v>6</v>
      </c>
      <c r="L10">
        <v>4507.3</v>
      </c>
      <c r="M10">
        <v>27043.8</v>
      </c>
      <c r="N10" t="s">
        <v>98</v>
      </c>
      <c r="O10" t="s">
        <v>30</v>
      </c>
      <c r="P10" t="s">
        <v>45</v>
      </c>
      <c r="Q10" t="s">
        <v>99</v>
      </c>
      <c r="R10" t="s">
        <v>47</v>
      </c>
      <c r="S10" t="s">
        <v>34</v>
      </c>
      <c r="T10" t="s">
        <v>100</v>
      </c>
      <c r="U10" t="str">
        <f t="shared" si="0"/>
        <v>46-55</v>
      </c>
      <c r="V10" t="str">
        <f t="shared" si="1"/>
        <v>September</v>
      </c>
      <c r="W10" t="str">
        <f t="shared" si="2"/>
        <v>Q3</v>
      </c>
      <c r="X10">
        <f t="shared" si="3"/>
        <v>2025</v>
      </c>
      <c r="Y10" t="str">
        <f t="shared" si="8"/>
        <v>High</v>
      </c>
      <c r="Z10" t="str">
        <f t="shared" si="4"/>
        <v>Regular Buyer</v>
      </c>
      <c r="AA10" t="str">
        <f t="shared" si="5"/>
        <v>VIP</v>
      </c>
      <c r="AB10" s="4">
        <f t="shared" ca="1" si="6"/>
        <v>182</v>
      </c>
      <c r="AC10" t="str">
        <f t="shared" ca="1" si="7"/>
        <v>Churn Risk</v>
      </c>
    </row>
    <row r="11" spans="1:29" x14ac:dyDescent="0.3">
      <c r="A11" t="s">
        <v>101</v>
      </c>
      <c r="B11" t="s">
        <v>77</v>
      </c>
      <c r="C11">
        <v>48</v>
      </c>
      <c r="D11" t="s">
        <v>38</v>
      </c>
      <c r="E11" t="s">
        <v>23</v>
      </c>
      <c r="F11" t="s">
        <v>24</v>
      </c>
      <c r="G11" t="s">
        <v>25</v>
      </c>
      <c r="H11" t="s">
        <v>64</v>
      </c>
      <c r="I11" t="s">
        <v>102</v>
      </c>
      <c r="J11" t="s">
        <v>103</v>
      </c>
      <c r="K11">
        <v>7</v>
      </c>
      <c r="L11">
        <v>4370.76</v>
      </c>
      <c r="M11">
        <v>30595.32</v>
      </c>
      <c r="N11" t="s">
        <v>98</v>
      </c>
      <c r="O11" t="s">
        <v>44</v>
      </c>
      <c r="P11" t="s">
        <v>45</v>
      </c>
      <c r="Q11" t="s">
        <v>99</v>
      </c>
      <c r="R11" t="s">
        <v>47</v>
      </c>
      <c r="S11" t="s">
        <v>34</v>
      </c>
      <c r="T11" t="s">
        <v>104</v>
      </c>
      <c r="U11" t="str">
        <f t="shared" si="0"/>
        <v>46-55</v>
      </c>
      <c r="V11" t="str">
        <f t="shared" si="1"/>
        <v>October</v>
      </c>
      <c r="W11" t="str">
        <f t="shared" si="2"/>
        <v>Q4</v>
      </c>
      <c r="X11">
        <f t="shared" si="3"/>
        <v>2025</v>
      </c>
      <c r="Y11" t="str">
        <f t="shared" si="8"/>
        <v>High</v>
      </c>
      <c r="Z11" t="str">
        <f t="shared" si="4"/>
        <v>Regular Buyer</v>
      </c>
      <c r="AA11" t="str">
        <f t="shared" si="5"/>
        <v>VIP</v>
      </c>
      <c r="AB11" s="4">
        <f t="shared" ca="1" si="6"/>
        <v>207</v>
      </c>
      <c r="AC11" t="str">
        <f t="shared" ca="1" si="7"/>
        <v>Churn Risk</v>
      </c>
    </row>
    <row r="12" spans="1:29" x14ac:dyDescent="0.3">
      <c r="A12" t="s">
        <v>105</v>
      </c>
      <c r="B12" t="s">
        <v>95</v>
      </c>
      <c r="C12">
        <v>28</v>
      </c>
      <c r="D12" t="s">
        <v>22</v>
      </c>
      <c r="E12" t="s">
        <v>106</v>
      </c>
      <c r="F12" t="s">
        <v>40</v>
      </c>
      <c r="G12" t="s">
        <v>80</v>
      </c>
      <c r="H12" t="s">
        <v>55</v>
      </c>
      <c r="I12" t="s">
        <v>96</v>
      </c>
      <c r="J12" t="s">
        <v>107</v>
      </c>
      <c r="K12">
        <v>3</v>
      </c>
      <c r="L12">
        <v>1506.27</v>
      </c>
      <c r="M12">
        <v>4518.8100000000004</v>
      </c>
      <c r="N12" t="s">
        <v>108</v>
      </c>
      <c r="O12" t="s">
        <v>44</v>
      </c>
      <c r="P12" t="s">
        <v>74</v>
      </c>
      <c r="Q12" t="s">
        <v>32</v>
      </c>
      <c r="R12" t="s">
        <v>47</v>
      </c>
      <c r="S12" t="s">
        <v>34</v>
      </c>
      <c r="T12" t="s">
        <v>109</v>
      </c>
      <c r="U12" t="str">
        <f t="shared" si="0"/>
        <v>26-35</v>
      </c>
      <c r="V12" t="str">
        <f t="shared" si="1"/>
        <v>March</v>
      </c>
      <c r="W12" t="str">
        <f t="shared" si="2"/>
        <v>Q1</v>
      </c>
      <c r="X12">
        <f t="shared" si="3"/>
        <v>2025</v>
      </c>
      <c r="Y12" t="str">
        <f t="shared" si="8"/>
        <v>High</v>
      </c>
      <c r="Z12" t="str">
        <f t="shared" si="4"/>
        <v>Regular Buyer</v>
      </c>
      <c r="AA12" t="str">
        <f t="shared" si="5"/>
        <v>Regular</v>
      </c>
      <c r="AB12" s="4">
        <f t="shared" ca="1" si="6"/>
        <v>408</v>
      </c>
      <c r="AC12" t="str">
        <f t="shared" ca="1" si="7"/>
        <v>Churn Risk</v>
      </c>
    </row>
    <row r="13" spans="1:29" x14ac:dyDescent="0.3">
      <c r="A13" t="s">
        <v>110</v>
      </c>
      <c r="B13" t="s">
        <v>111</v>
      </c>
      <c r="C13">
        <v>49</v>
      </c>
      <c r="D13" t="s">
        <v>38</v>
      </c>
      <c r="E13" t="s">
        <v>78</v>
      </c>
      <c r="F13" t="s">
        <v>79</v>
      </c>
      <c r="G13" t="s">
        <v>80</v>
      </c>
      <c r="H13" t="s">
        <v>41</v>
      </c>
      <c r="I13" t="s">
        <v>81</v>
      </c>
      <c r="J13" t="s">
        <v>112</v>
      </c>
      <c r="K13">
        <v>5</v>
      </c>
      <c r="L13">
        <v>3324.8</v>
      </c>
      <c r="M13">
        <v>16624</v>
      </c>
      <c r="N13" t="s">
        <v>29</v>
      </c>
      <c r="O13" t="s">
        <v>44</v>
      </c>
      <c r="P13" t="s">
        <v>68</v>
      </c>
      <c r="Q13" t="s">
        <v>32</v>
      </c>
      <c r="R13" t="s">
        <v>33</v>
      </c>
      <c r="S13" t="s">
        <v>48</v>
      </c>
      <c r="T13" t="s">
        <v>113</v>
      </c>
      <c r="U13" t="str">
        <f t="shared" si="0"/>
        <v>46-55</v>
      </c>
      <c r="V13" t="str">
        <f t="shared" si="1"/>
        <v>March</v>
      </c>
      <c r="W13" t="str">
        <f t="shared" si="2"/>
        <v>Q1</v>
      </c>
      <c r="X13">
        <f t="shared" si="3"/>
        <v>2025</v>
      </c>
      <c r="Y13" t="str">
        <f t="shared" si="8"/>
        <v>Medium</v>
      </c>
      <c r="Z13" t="str">
        <f t="shared" si="4"/>
        <v>Discount Buyer</v>
      </c>
      <c r="AA13" t="str">
        <f t="shared" si="5"/>
        <v>VIP</v>
      </c>
      <c r="AB13" s="4">
        <f t="shared" ca="1" si="6"/>
        <v>331</v>
      </c>
      <c r="AC13" t="str">
        <f t="shared" ca="1" si="7"/>
        <v>Churn Risk</v>
      </c>
    </row>
    <row r="14" spans="1:29" x14ac:dyDescent="0.3">
      <c r="A14" t="s">
        <v>114</v>
      </c>
      <c r="B14" t="s">
        <v>51</v>
      </c>
      <c r="C14">
        <v>29</v>
      </c>
      <c r="D14" t="s">
        <v>22</v>
      </c>
      <c r="E14" t="s">
        <v>78</v>
      </c>
      <c r="F14" t="s">
        <v>79</v>
      </c>
      <c r="G14" t="s">
        <v>54</v>
      </c>
      <c r="H14" t="s">
        <v>115</v>
      </c>
      <c r="I14" t="s">
        <v>116</v>
      </c>
      <c r="J14" t="s">
        <v>117</v>
      </c>
      <c r="K14">
        <v>5</v>
      </c>
      <c r="L14">
        <v>1997.53</v>
      </c>
      <c r="M14">
        <v>9987.65</v>
      </c>
      <c r="N14" t="s">
        <v>98</v>
      </c>
      <c r="O14" t="s">
        <v>44</v>
      </c>
      <c r="P14" t="s">
        <v>31</v>
      </c>
      <c r="Q14" t="s">
        <v>32</v>
      </c>
      <c r="R14" t="s">
        <v>33</v>
      </c>
      <c r="S14" t="s">
        <v>48</v>
      </c>
      <c r="T14" t="s">
        <v>118</v>
      </c>
      <c r="U14" t="str">
        <f t="shared" si="0"/>
        <v>26-35</v>
      </c>
      <c r="V14" t="str">
        <f t="shared" si="1"/>
        <v>March</v>
      </c>
      <c r="W14" t="str">
        <f t="shared" si="2"/>
        <v>Q1</v>
      </c>
      <c r="X14">
        <f t="shared" si="3"/>
        <v>2026</v>
      </c>
      <c r="Y14" t="str">
        <f t="shared" si="8"/>
        <v>High</v>
      </c>
      <c r="Z14" t="str">
        <f t="shared" si="4"/>
        <v>Discount Buyer</v>
      </c>
      <c r="AA14" t="str">
        <f t="shared" si="5"/>
        <v>Premium</v>
      </c>
      <c r="AB14" s="4">
        <f t="shared" ca="1" si="6"/>
        <v>-13</v>
      </c>
      <c r="AC14" t="str">
        <f t="shared" ca="1" si="7"/>
        <v>Active</v>
      </c>
    </row>
    <row r="15" spans="1:29" x14ac:dyDescent="0.3">
      <c r="A15" t="s">
        <v>119</v>
      </c>
      <c r="B15" t="s">
        <v>120</v>
      </c>
      <c r="C15">
        <v>24</v>
      </c>
      <c r="D15" t="s">
        <v>38</v>
      </c>
      <c r="E15" t="s">
        <v>121</v>
      </c>
      <c r="F15" t="s">
        <v>24</v>
      </c>
      <c r="G15" t="s">
        <v>63</v>
      </c>
      <c r="H15" t="s">
        <v>55</v>
      </c>
      <c r="I15" t="s">
        <v>122</v>
      </c>
      <c r="J15" t="s">
        <v>123</v>
      </c>
      <c r="K15">
        <v>2</v>
      </c>
      <c r="L15">
        <v>2577.38</v>
      </c>
      <c r="M15">
        <v>5154.76</v>
      </c>
      <c r="N15" t="s">
        <v>98</v>
      </c>
      <c r="O15" t="s">
        <v>44</v>
      </c>
      <c r="P15" t="s">
        <v>68</v>
      </c>
      <c r="Q15" t="s">
        <v>99</v>
      </c>
      <c r="R15" t="s">
        <v>47</v>
      </c>
      <c r="S15" t="s">
        <v>34</v>
      </c>
      <c r="T15" t="s">
        <v>124</v>
      </c>
      <c r="U15" t="str">
        <f t="shared" si="0"/>
        <v>18-25</v>
      </c>
      <c r="V15" t="str">
        <f t="shared" si="1"/>
        <v>August</v>
      </c>
      <c r="W15" t="str">
        <f t="shared" si="2"/>
        <v>Q3</v>
      </c>
      <c r="X15">
        <f t="shared" si="3"/>
        <v>2025</v>
      </c>
      <c r="Y15" t="str">
        <f t="shared" si="8"/>
        <v>High</v>
      </c>
      <c r="Z15" t="str">
        <f t="shared" si="4"/>
        <v>Regular Buyer</v>
      </c>
      <c r="AA15" t="str">
        <f t="shared" si="5"/>
        <v>Premium</v>
      </c>
      <c r="AB15" s="4">
        <f t="shared" ca="1" si="6"/>
        <v>248</v>
      </c>
      <c r="AC15" t="str">
        <f t="shared" ca="1" si="7"/>
        <v>Churn Risk</v>
      </c>
    </row>
    <row r="16" spans="1:29" x14ac:dyDescent="0.3">
      <c r="A16" t="s">
        <v>125</v>
      </c>
      <c r="B16" t="s">
        <v>120</v>
      </c>
      <c r="C16">
        <v>43</v>
      </c>
      <c r="D16" t="s">
        <v>38</v>
      </c>
      <c r="E16" t="s">
        <v>87</v>
      </c>
      <c r="F16" t="s">
        <v>79</v>
      </c>
      <c r="G16" t="s">
        <v>72</v>
      </c>
      <c r="H16" t="s">
        <v>41</v>
      </c>
      <c r="I16" t="s">
        <v>42</v>
      </c>
      <c r="J16" t="s">
        <v>126</v>
      </c>
      <c r="K16">
        <v>7</v>
      </c>
      <c r="L16">
        <v>175.81</v>
      </c>
      <c r="M16">
        <v>1230.67</v>
      </c>
      <c r="N16" t="s">
        <v>108</v>
      </c>
      <c r="O16" t="s">
        <v>44</v>
      </c>
      <c r="P16" t="s">
        <v>45</v>
      </c>
      <c r="Q16" t="s">
        <v>99</v>
      </c>
      <c r="R16" t="s">
        <v>33</v>
      </c>
      <c r="S16" t="s">
        <v>34</v>
      </c>
      <c r="T16" t="s">
        <v>127</v>
      </c>
      <c r="U16" t="str">
        <f t="shared" si="0"/>
        <v>36-45</v>
      </c>
      <c r="V16" t="str">
        <f t="shared" si="1"/>
        <v>November</v>
      </c>
      <c r="W16" t="str">
        <f t="shared" si="2"/>
        <v>Q4</v>
      </c>
      <c r="X16">
        <f t="shared" si="3"/>
        <v>2025</v>
      </c>
      <c r="Y16" t="str">
        <f t="shared" si="8"/>
        <v>High</v>
      </c>
      <c r="Z16" t="str">
        <f t="shared" si="4"/>
        <v>Discount Buyer</v>
      </c>
      <c r="AA16" t="str">
        <f t="shared" si="5"/>
        <v>Regular</v>
      </c>
      <c r="AB16" s="4">
        <f t="shared" ca="1" si="6"/>
        <v>123</v>
      </c>
      <c r="AC16" t="str">
        <f t="shared" ca="1" si="7"/>
        <v>At Risk</v>
      </c>
    </row>
    <row r="17" spans="1:29" x14ac:dyDescent="0.3">
      <c r="A17" t="s">
        <v>128</v>
      </c>
      <c r="B17" t="s">
        <v>77</v>
      </c>
      <c r="C17">
        <v>22</v>
      </c>
      <c r="D17" t="s">
        <v>38</v>
      </c>
      <c r="E17" t="s">
        <v>106</v>
      </c>
      <c r="F17" t="s">
        <v>40</v>
      </c>
      <c r="G17" t="s">
        <v>63</v>
      </c>
      <c r="H17" t="s">
        <v>129</v>
      </c>
      <c r="I17" t="s">
        <v>130</v>
      </c>
      <c r="J17" t="s">
        <v>131</v>
      </c>
      <c r="K17">
        <v>1</v>
      </c>
      <c r="L17">
        <v>2641.36</v>
      </c>
      <c r="M17">
        <v>2641.36</v>
      </c>
      <c r="N17" t="s">
        <v>67</v>
      </c>
      <c r="O17" t="s">
        <v>30</v>
      </c>
      <c r="P17" t="s">
        <v>68</v>
      </c>
      <c r="Q17" t="s">
        <v>46</v>
      </c>
      <c r="R17" t="s">
        <v>47</v>
      </c>
      <c r="S17" t="s">
        <v>34</v>
      </c>
      <c r="T17" t="s">
        <v>132</v>
      </c>
      <c r="U17" t="str">
        <f t="shared" si="0"/>
        <v>18-25</v>
      </c>
      <c r="V17" t="str">
        <f t="shared" si="1"/>
        <v>March</v>
      </c>
      <c r="W17" t="str">
        <f t="shared" si="2"/>
        <v>Q1</v>
      </c>
      <c r="X17">
        <f t="shared" si="3"/>
        <v>2025</v>
      </c>
      <c r="Y17" t="str">
        <f t="shared" si="8"/>
        <v>Medium</v>
      </c>
      <c r="Z17" t="str">
        <f t="shared" si="4"/>
        <v>Regular Buyer</v>
      </c>
      <c r="AA17" t="str">
        <f t="shared" si="5"/>
        <v>Regular</v>
      </c>
      <c r="AB17" s="4">
        <f t="shared" ca="1" si="6"/>
        <v>392</v>
      </c>
      <c r="AC17" t="str">
        <f t="shared" ca="1" si="7"/>
        <v>Churn Risk</v>
      </c>
    </row>
    <row r="18" spans="1:29" x14ac:dyDescent="0.3">
      <c r="A18" t="s">
        <v>133</v>
      </c>
      <c r="B18" t="s">
        <v>111</v>
      </c>
      <c r="C18">
        <v>48</v>
      </c>
      <c r="D18" t="s">
        <v>22</v>
      </c>
      <c r="E18" t="s">
        <v>134</v>
      </c>
      <c r="F18" t="s">
        <v>135</v>
      </c>
      <c r="G18" t="s">
        <v>91</v>
      </c>
      <c r="H18" t="s">
        <v>26</v>
      </c>
      <c r="I18" t="s">
        <v>136</v>
      </c>
      <c r="J18" t="s">
        <v>137</v>
      </c>
      <c r="K18">
        <v>8</v>
      </c>
      <c r="L18">
        <v>1445.59</v>
      </c>
      <c r="M18">
        <v>11564.72</v>
      </c>
      <c r="N18" t="s">
        <v>58</v>
      </c>
      <c r="O18" t="s">
        <v>30</v>
      </c>
      <c r="P18" t="s">
        <v>45</v>
      </c>
      <c r="Q18" t="s">
        <v>59</v>
      </c>
      <c r="R18" t="s">
        <v>47</v>
      </c>
      <c r="S18" t="s">
        <v>34</v>
      </c>
      <c r="T18" t="s">
        <v>138</v>
      </c>
      <c r="U18" t="str">
        <f t="shared" si="0"/>
        <v>46-55</v>
      </c>
      <c r="V18" t="str">
        <f t="shared" si="1"/>
        <v>July</v>
      </c>
      <c r="W18" t="str">
        <f t="shared" si="2"/>
        <v>Q3</v>
      </c>
      <c r="X18">
        <f t="shared" si="3"/>
        <v>2025</v>
      </c>
      <c r="Y18" t="str">
        <f t="shared" si="8"/>
        <v>Medium</v>
      </c>
      <c r="Z18" t="str">
        <f t="shared" si="4"/>
        <v>Regular Buyer</v>
      </c>
      <c r="AA18" t="str">
        <f t="shared" si="5"/>
        <v>VIP</v>
      </c>
      <c r="AB18" s="4">
        <f t="shared" ca="1" si="6"/>
        <v>291</v>
      </c>
      <c r="AC18" t="str">
        <f t="shared" ca="1" si="7"/>
        <v>Churn Risk</v>
      </c>
    </row>
    <row r="19" spans="1:29" x14ac:dyDescent="0.3">
      <c r="A19" t="s">
        <v>139</v>
      </c>
      <c r="B19" t="s">
        <v>51</v>
      </c>
      <c r="C19">
        <v>25</v>
      </c>
      <c r="D19" t="s">
        <v>22</v>
      </c>
      <c r="E19" t="s">
        <v>121</v>
      </c>
      <c r="F19" t="s">
        <v>24</v>
      </c>
      <c r="G19" t="s">
        <v>72</v>
      </c>
      <c r="H19" t="s">
        <v>26</v>
      </c>
      <c r="I19" t="s">
        <v>140</v>
      </c>
      <c r="J19" t="s">
        <v>141</v>
      </c>
      <c r="K19">
        <v>7</v>
      </c>
      <c r="L19">
        <v>748.24</v>
      </c>
      <c r="M19">
        <v>5237.68</v>
      </c>
      <c r="N19" t="s">
        <v>98</v>
      </c>
      <c r="O19" t="s">
        <v>44</v>
      </c>
      <c r="P19" t="s">
        <v>45</v>
      </c>
      <c r="Q19" t="s">
        <v>59</v>
      </c>
      <c r="R19" t="s">
        <v>33</v>
      </c>
      <c r="S19" t="s">
        <v>142</v>
      </c>
      <c r="T19" t="s">
        <v>143</v>
      </c>
      <c r="U19" t="str">
        <f t="shared" si="0"/>
        <v>18-25</v>
      </c>
      <c r="V19" t="str">
        <f t="shared" si="1"/>
        <v>January</v>
      </c>
      <c r="W19" t="str">
        <f t="shared" si="2"/>
        <v>Q1</v>
      </c>
      <c r="X19">
        <f t="shared" si="3"/>
        <v>2025</v>
      </c>
      <c r="Y19" t="str">
        <f t="shared" si="8"/>
        <v>High</v>
      </c>
      <c r="Z19" t="str">
        <f t="shared" si="4"/>
        <v>Discount Buyer</v>
      </c>
      <c r="AA19" t="str">
        <f t="shared" si="5"/>
        <v>Premium</v>
      </c>
      <c r="AB19" s="4">
        <f t="shared" ca="1" si="6"/>
        <v>394</v>
      </c>
      <c r="AC19" t="str">
        <f t="shared" ca="1" si="7"/>
        <v>Churn Risk</v>
      </c>
    </row>
    <row r="20" spans="1:29" x14ac:dyDescent="0.3">
      <c r="A20" t="s">
        <v>144</v>
      </c>
      <c r="B20" t="s">
        <v>111</v>
      </c>
      <c r="C20">
        <v>21</v>
      </c>
      <c r="D20" t="s">
        <v>38</v>
      </c>
      <c r="E20" t="s">
        <v>87</v>
      </c>
      <c r="F20" t="s">
        <v>79</v>
      </c>
      <c r="G20" t="s">
        <v>25</v>
      </c>
      <c r="H20" t="s">
        <v>55</v>
      </c>
      <c r="I20" t="s">
        <v>96</v>
      </c>
      <c r="J20" t="s">
        <v>145</v>
      </c>
      <c r="K20">
        <v>1</v>
      </c>
      <c r="L20">
        <v>3431.83</v>
      </c>
      <c r="M20">
        <v>3431.83</v>
      </c>
      <c r="N20" t="s">
        <v>108</v>
      </c>
      <c r="O20" t="s">
        <v>30</v>
      </c>
      <c r="P20" t="s">
        <v>74</v>
      </c>
      <c r="Q20" t="s">
        <v>32</v>
      </c>
      <c r="R20" t="s">
        <v>33</v>
      </c>
      <c r="S20" t="s">
        <v>142</v>
      </c>
      <c r="T20" t="s">
        <v>146</v>
      </c>
      <c r="U20" t="str">
        <f t="shared" si="0"/>
        <v>18-25</v>
      </c>
      <c r="V20" t="str">
        <f t="shared" si="1"/>
        <v>August</v>
      </c>
      <c r="W20" t="str">
        <f t="shared" si="2"/>
        <v>Q3</v>
      </c>
      <c r="X20">
        <f t="shared" si="3"/>
        <v>2025</v>
      </c>
      <c r="Y20" t="str">
        <f t="shared" si="8"/>
        <v>High</v>
      </c>
      <c r="Z20" t="str">
        <f t="shared" si="4"/>
        <v>Discount Buyer</v>
      </c>
      <c r="AA20" t="str">
        <f t="shared" si="5"/>
        <v>Regular</v>
      </c>
      <c r="AB20" s="4">
        <f t="shared" ca="1" si="6"/>
        <v>274</v>
      </c>
      <c r="AC20" t="str">
        <f t="shared" ca="1" si="7"/>
        <v>Churn Risk</v>
      </c>
    </row>
    <row r="21" spans="1:29" x14ac:dyDescent="0.3">
      <c r="A21" t="s">
        <v>147</v>
      </c>
      <c r="B21" t="s">
        <v>21</v>
      </c>
      <c r="C21">
        <v>39</v>
      </c>
      <c r="D21" t="s">
        <v>22</v>
      </c>
      <c r="E21" t="s">
        <v>134</v>
      </c>
      <c r="F21" t="s">
        <v>135</v>
      </c>
      <c r="G21" t="s">
        <v>72</v>
      </c>
      <c r="H21" t="s">
        <v>129</v>
      </c>
      <c r="I21" t="s">
        <v>148</v>
      </c>
      <c r="J21" t="s">
        <v>149</v>
      </c>
      <c r="K21">
        <v>8</v>
      </c>
      <c r="L21">
        <v>1529.45</v>
      </c>
      <c r="M21">
        <v>12235.6</v>
      </c>
      <c r="N21" t="s">
        <v>58</v>
      </c>
      <c r="O21" t="s">
        <v>30</v>
      </c>
      <c r="P21" t="s">
        <v>31</v>
      </c>
      <c r="Q21" t="s">
        <v>99</v>
      </c>
      <c r="R21" t="s">
        <v>47</v>
      </c>
      <c r="S21" t="s">
        <v>83</v>
      </c>
      <c r="T21" t="s">
        <v>150</v>
      </c>
      <c r="U21" t="str">
        <f t="shared" si="0"/>
        <v>36-45</v>
      </c>
      <c r="V21" t="str">
        <f t="shared" si="1"/>
        <v>December</v>
      </c>
      <c r="W21" t="str">
        <f t="shared" si="2"/>
        <v>Q4</v>
      </c>
      <c r="X21">
        <f t="shared" si="3"/>
        <v>2025</v>
      </c>
      <c r="Y21" t="str">
        <f t="shared" si="8"/>
        <v>Medium</v>
      </c>
      <c r="Z21" t="str">
        <f t="shared" si="4"/>
        <v>Regular Buyer</v>
      </c>
      <c r="AA21" t="str">
        <f t="shared" si="5"/>
        <v>VIP</v>
      </c>
      <c r="AB21" s="4">
        <f t="shared" ca="1" si="6"/>
        <v>126</v>
      </c>
      <c r="AC21" t="str">
        <f t="shared" ca="1" si="7"/>
        <v>At Risk</v>
      </c>
    </row>
    <row r="22" spans="1:29" x14ac:dyDescent="0.3">
      <c r="A22" t="s">
        <v>151</v>
      </c>
      <c r="B22" t="s">
        <v>111</v>
      </c>
      <c r="C22">
        <v>39</v>
      </c>
      <c r="D22" t="s">
        <v>22</v>
      </c>
      <c r="E22" t="s">
        <v>52</v>
      </c>
      <c r="F22" t="s">
        <v>53</v>
      </c>
      <c r="G22" t="s">
        <v>152</v>
      </c>
      <c r="H22" t="s">
        <v>55</v>
      </c>
      <c r="I22" t="s">
        <v>122</v>
      </c>
      <c r="J22" t="s">
        <v>153</v>
      </c>
      <c r="K22">
        <v>6</v>
      </c>
      <c r="L22">
        <v>4224.83</v>
      </c>
      <c r="M22">
        <v>25348.98</v>
      </c>
      <c r="N22" t="s">
        <v>98</v>
      </c>
      <c r="O22" t="s">
        <v>30</v>
      </c>
      <c r="P22" t="s">
        <v>68</v>
      </c>
      <c r="Q22" t="s">
        <v>32</v>
      </c>
      <c r="R22" t="s">
        <v>33</v>
      </c>
      <c r="S22" t="s">
        <v>34</v>
      </c>
      <c r="T22" t="s">
        <v>154</v>
      </c>
      <c r="U22" t="str">
        <f t="shared" si="0"/>
        <v>36-45</v>
      </c>
      <c r="V22" t="str">
        <f t="shared" si="1"/>
        <v>June</v>
      </c>
      <c r="W22" t="str">
        <f t="shared" si="2"/>
        <v>Q2</v>
      </c>
      <c r="X22">
        <f t="shared" si="3"/>
        <v>2025</v>
      </c>
      <c r="Y22" t="str">
        <f t="shared" si="8"/>
        <v>High</v>
      </c>
      <c r="Z22" t="str">
        <f t="shared" si="4"/>
        <v>Discount Buyer</v>
      </c>
      <c r="AA22" t="str">
        <f t="shared" si="5"/>
        <v>VIP</v>
      </c>
      <c r="AB22" s="4">
        <f t="shared" ca="1" si="6"/>
        <v>299</v>
      </c>
      <c r="AC22" t="str">
        <f t="shared" ca="1" si="7"/>
        <v>Churn Risk</v>
      </c>
    </row>
    <row r="23" spans="1:29" x14ac:dyDescent="0.3">
      <c r="A23" t="s">
        <v>155</v>
      </c>
      <c r="B23" t="s">
        <v>51</v>
      </c>
      <c r="C23">
        <v>18</v>
      </c>
      <c r="D23" t="s">
        <v>38</v>
      </c>
      <c r="E23" t="s">
        <v>62</v>
      </c>
      <c r="F23" t="s">
        <v>53</v>
      </c>
      <c r="G23" t="s">
        <v>54</v>
      </c>
      <c r="H23" t="s">
        <v>26</v>
      </c>
      <c r="I23" t="s">
        <v>140</v>
      </c>
      <c r="J23" t="s">
        <v>156</v>
      </c>
      <c r="K23">
        <v>4</v>
      </c>
      <c r="L23">
        <v>4898.91</v>
      </c>
      <c r="M23">
        <v>19595.64</v>
      </c>
      <c r="N23" t="s">
        <v>108</v>
      </c>
      <c r="O23" t="s">
        <v>44</v>
      </c>
      <c r="P23" t="s">
        <v>68</v>
      </c>
      <c r="Q23" t="s">
        <v>32</v>
      </c>
      <c r="R23" t="s">
        <v>33</v>
      </c>
      <c r="S23" t="s">
        <v>34</v>
      </c>
      <c r="T23" t="s">
        <v>157</v>
      </c>
      <c r="U23" t="str">
        <f t="shared" si="0"/>
        <v>18-25</v>
      </c>
      <c r="V23" t="str">
        <f t="shared" si="1"/>
        <v>November</v>
      </c>
      <c r="W23" t="str">
        <f t="shared" si="2"/>
        <v>Q4</v>
      </c>
      <c r="X23">
        <f t="shared" si="3"/>
        <v>2025</v>
      </c>
      <c r="Y23" t="str">
        <f t="shared" si="8"/>
        <v>High</v>
      </c>
      <c r="Z23" t="str">
        <f t="shared" si="4"/>
        <v>Discount Buyer</v>
      </c>
      <c r="AA23" t="str">
        <f t="shared" si="5"/>
        <v>VIP</v>
      </c>
      <c r="AB23" s="4">
        <f t="shared" ca="1" si="6"/>
        <v>158</v>
      </c>
      <c r="AC23" t="str">
        <f t="shared" ca="1" si="7"/>
        <v>At Risk</v>
      </c>
    </row>
    <row r="24" spans="1:29" x14ac:dyDescent="0.3">
      <c r="A24" t="s">
        <v>158</v>
      </c>
      <c r="B24" t="s">
        <v>159</v>
      </c>
      <c r="C24">
        <v>59</v>
      </c>
      <c r="D24" t="s">
        <v>38</v>
      </c>
      <c r="E24" t="s">
        <v>121</v>
      </c>
      <c r="F24" t="s">
        <v>24</v>
      </c>
      <c r="G24" t="s">
        <v>25</v>
      </c>
      <c r="H24" t="s">
        <v>41</v>
      </c>
      <c r="I24" t="s">
        <v>81</v>
      </c>
      <c r="J24" t="s">
        <v>160</v>
      </c>
      <c r="K24">
        <v>4</v>
      </c>
      <c r="L24">
        <v>2674.03</v>
      </c>
      <c r="M24">
        <v>10696.12</v>
      </c>
      <c r="N24" t="s">
        <v>67</v>
      </c>
      <c r="O24" t="s">
        <v>44</v>
      </c>
      <c r="P24" t="s">
        <v>31</v>
      </c>
      <c r="Q24" t="s">
        <v>46</v>
      </c>
      <c r="R24" t="s">
        <v>47</v>
      </c>
      <c r="S24" t="s">
        <v>34</v>
      </c>
      <c r="T24" t="s">
        <v>161</v>
      </c>
      <c r="U24" t="str">
        <f t="shared" si="0"/>
        <v>55+</v>
      </c>
      <c r="V24" t="str">
        <f t="shared" si="1"/>
        <v>January</v>
      </c>
      <c r="W24" t="str">
        <f t="shared" si="2"/>
        <v>Q1</v>
      </c>
      <c r="X24">
        <f t="shared" si="3"/>
        <v>2026</v>
      </c>
      <c r="Y24" t="str">
        <f t="shared" si="8"/>
        <v>High</v>
      </c>
      <c r="Z24" t="str">
        <f t="shared" si="4"/>
        <v>Regular Buyer</v>
      </c>
      <c r="AA24" t="str">
        <f t="shared" si="5"/>
        <v>VIP</v>
      </c>
      <c r="AB24" s="4">
        <f t="shared" ca="1" si="6"/>
        <v>102</v>
      </c>
      <c r="AC24" t="str">
        <f t="shared" ca="1" si="7"/>
        <v>At Risk</v>
      </c>
    </row>
    <row r="25" spans="1:29" x14ac:dyDescent="0.3">
      <c r="A25" t="s">
        <v>162</v>
      </c>
      <c r="B25" t="s">
        <v>120</v>
      </c>
      <c r="C25">
        <v>32</v>
      </c>
      <c r="D25" t="s">
        <v>22</v>
      </c>
      <c r="E25" t="s">
        <v>163</v>
      </c>
      <c r="F25" t="s">
        <v>135</v>
      </c>
      <c r="G25" t="s">
        <v>54</v>
      </c>
      <c r="H25" t="s">
        <v>26</v>
      </c>
      <c r="I25" t="s">
        <v>27</v>
      </c>
      <c r="J25" t="s">
        <v>164</v>
      </c>
      <c r="K25">
        <v>7</v>
      </c>
      <c r="L25">
        <v>2364.9</v>
      </c>
      <c r="M25">
        <v>16554.3</v>
      </c>
      <c r="N25" t="s">
        <v>29</v>
      </c>
      <c r="O25" t="s">
        <v>44</v>
      </c>
      <c r="P25" t="s">
        <v>45</v>
      </c>
      <c r="Q25" t="s">
        <v>99</v>
      </c>
      <c r="R25" t="s">
        <v>47</v>
      </c>
      <c r="S25" t="s">
        <v>83</v>
      </c>
      <c r="T25" t="s">
        <v>165</v>
      </c>
      <c r="U25" t="str">
        <f t="shared" si="0"/>
        <v>26-35</v>
      </c>
      <c r="V25" t="str">
        <f t="shared" si="1"/>
        <v>January</v>
      </c>
      <c r="W25" t="str">
        <f t="shared" si="2"/>
        <v>Q1</v>
      </c>
      <c r="X25">
        <f t="shared" si="3"/>
        <v>2025</v>
      </c>
      <c r="Y25" t="str">
        <f t="shared" si="8"/>
        <v>High</v>
      </c>
      <c r="Z25" t="str">
        <f t="shared" si="4"/>
        <v>Regular Buyer</v>
      </c>
      <c r="AA25" t="str">
        <f t="shared" si="5"/>
        <v>VIP</v>
      </c>
      <c r="AB25" s="4">
        <f t="shared" ca="1" si="6"/>
        <v>487</v>
      </c>
      <c r="AC25" t="str">
        <f t="shared" ca="1" si="7"/>
        <v>Churn Risk</v>
      </c>
    </row>
    <row r="26" spans="1:29" x14ac:dyDescent="0.3">
      <c r="A26" t="s">
        <v>166</v>
      </c>
      <c r="B26" t="s">
        <v>159</v>
      </c>
      <c r="C26">
        <v>34</v>
      </c>
      <c r="D26" t="s">
        <v>38</v>
      </c>
      <c r="E26" t="s">
        <v>78</v>
      </c>
      <c r="F26" t="s">
        <v>79</v>
      </c>
      <c r="G26" t="s">
        <v>80</v>
      </c>
      <c r="H26" t="s">
        <v>129</v>
      </c>
      <c r="I26" t="s">
        <v>167</v>
      </c>
      <c r="J26" t="s">
        <v>168</v>
      </c>
      <c r="K26">
        <v>3</v>
      </c>
      <c r="L26">
        <v>4949.7</v>
      </c>
      <c r="M26">
        <v>14849.1</v>
      </c>
      <c r="N26" t="s">
        <v>98</v>
      </c>
      <c r="O26" t="s">
        <v>44</v>
      </c>
      <c r="P26" t="s">
        <v>45</v>
      </c>
      <c r="Q26" t="s">
        <v>59</v>
      </c>
      <c r="R26" t="s">
        <v>47</v>
      </c>
      <c r="S26" t="s">
        <v>142</v>
      </c>
      <c r="T26" t="s">
        <v>82</v>
      </c>
      <c r="U26" t="str">
        <f t="shared" si="0"/>
        <v>26-35</v>
      </c>
      <c r="V26" t="str">
        <f t="shared" si="1"/>
        <v>September</v>
      </c>
      <c r="W26" t="str">
        <f t="shared" si="2"/>
        <v>Q3</v>
      </c>
      <c r="X26">
        <f t="shared" si="3"/>
        <v>2025</v>
      </c>
      <c r="Y26" t="str">
        <f t="shared" si="8"/>
        <v>High</v>
      </c>
      <c r="Z26" t="str">
        <f t="shared" si="4"/>
        <v>Regular Buyer</v>
      </c>
      <c r="AA26" t="str">
        <f t="shared" si="5"/>
        <v>VIP</v>
      </c>
      <c r="AB26" s="4">
        <f t="shared" ca="1" si="6"/>
        <v>148</v>
      </c>
      <c r="AC26" t="str">
        <f t="shared" ca="1" si="7"/>
        <v>At Risk</v>
      </c>
    </row>
    <row r="27" spans="1:29" x14ac:dyDescent="0.3">
      <c r="A27" t="s">
        <v>169</v>
      </c>
      <c r="B27" t="s">
        <v>37</v>
      </c>
      <c r="C27">
        <v>23</v>
      </c>
      <c r="D27" t="s">
        <v>38</v>
      </c>
      <c r="E27" t="s">
        <v>121</v>
      </c>
      <c r="F27" t="s">
        <v>24</v>
      </c>
      <c r="G27" t="s">
        <v>54</v>
      </c>
      <c r="H27" t="s">
        <v>115</v>
      </c>
      <c r="I27" t="s">
        <v>116</v>
      </c>
      <c r="J27" t="s">
        <v>170</v>
      </c>
      <c r="K27">
        <v>5</v>
      </c>
      <c r="L27">
        <v>4206.8900000000003</v>
      </c>
      <c r="M27">
        <v>21034.45</v>
      </c>
      <c r="N27" t="s">
        <v>98</v>
      </c>
      <c r="O27" t="s">
        <v>44</v>
      </c>
      <c r="P27" t="s">
        <v>31</v>
      </c>
      <c r="Q27" t="s">
        <v>99</v>
      </c>
      <c r="R27" t="s">
        <v>47</v>
      </c>
      <c r="S27" t="s">
        <v>83</v>
      </c>
      <c r="T27" t="s">
        <v>171</v>
      </c>
      <c r="U27" t="str">
        <f t="shared" si="0"/>
        <v>18-25</v>
      </c>
      <c r="V27" t="str">
        <f t="shared" si="1"/>
        <v>November</v>
      </c>
      <c r="W27" t="str">
        <f t="shared" si="2"/>
        <v>Q4</v>
      </c>
      <c r="X27">
        <f t="shared" si="3"/>
        <v>2025</v>
      </c>
      <c r="Y27" t="str">
        <f t="shared" si="8"/>
        <v>High</v>
      </c>
      <c r="Z27" t="str">
        <f t="shared" si="4"/>
        <v>Regular Buyer</v>
      </c>
      <c r="AA27" t="str">
        <f t="shared" si="5"/>
        <v>VIP</v>
      </c>
      <c r="AB27" s="4">
        <f t="shared" ca="1" si="6"/>
        <v>91</v>
      </c>
      <c r="AC27" t="str">
        <f t="shared" ca="1" si="7"/>
        <v>At Risk</v>
      </c>
    </row>
    <row r="28" spans="1:29" x14ac:dyDescent="0.3">
      <c r="A28" t="s">
        <v>172</v>
      </c>
      <c r="B28" t="s">
        <v>111</v>
      </c>
      <c r="C28">
        <v>52</v>
      </c>
      <c r="D28" t="s">
        <v>38</v>
      </c>
      <c r="E28" t="s">
        <v>87</v>
      </c>
      <c r="F28" t="s">
        <v>79</v>
      </c>
      <c r="G28" t="s">
        <v>63</v>
      </c>
      <c r="H28" t="s">
        <v>26</v>
      </c>
      <c r="I28" t="s">
        <v>140</v>
      </c>
      <c r="J28" t="s">
        <v>173</v>
      </c>
      <c r="K28">
        <v>1</v>
      </c>
      <c r="L28">
        <v>1702.24</v>
      </c>
      <c r="M28">
        <v>1702.24</v>
      </c>
      <c r="N28" t="s">
        <v>67</v>
      </c>
      <c r="O28" t="s">
        <v>30</v>
      </c>
      <c r="P28" t="s">
        <v>31</v>
      </c>
      <c r="Q28" t="s">
        <v>99</v>
      </c>
      <c r="R28" t="s">
        <v>47</v>
      </c>
      <c r="S28" t="s">
        <v>48</v>
      </c>
      <c r="T28" t="s">
        <v>174</v>
      </c>
      <c r="U28" t="str">
        <f t="shared" si="0"/>
        <v>46-55</v>
      </c>
      <c r="V28" t="str">
        <f t="shared" si="1"/>
        <v>October</v>
      </c>
      <c r="W28" t="str">
        <f t="shared" si="2"/>
        <v>Q4</v>
      </c>
      <c r="X28">
        <f t="shared" si="3"/>
        <v>2025</v>
      </c>
      <c r="Y28" t="str">
        <f t="shared" si="8"/>
        <v>High</v>
      </c>
      <c r="Z28" t="str">
        <f t="shared" si="4"/>
        <v>Regular Buyer</v>
      </c>
      <c r="AA28" t="str">
        <f t="shared" si="5"/>
        <v>Regular</v>
      </c>
      <c r="AB28" s="4">
        <f t="shared" ca="1" si="6"/>
        <v>205</v>
      </c>
      <c r="AC28" t="str">
        <f t="shared" ca="1" si="7"/>
        <v>Churn Risk</v>
      </c>
    </row>
    <row r="29" spans="1:29" x14ac:dyDescent="0.3">
      <c r="A29" t="s">
        <v>175</v>
      </c>
      <c r="B29" t="s">
        <v>21</v>
      </c>
      <c r="C29">
        <v>19</v>
      </c>
      <c r="D29" t="s">
        <v>22</v>
      </c>
      <c r="E29" t="s">
        <v>87</v>
      </c>
      <c r="F29" t="s">
        <v>79</v>
      </c>
      <c r="G29" t="s">
        <v>54</v>
      </c>
      <c r="H29" t="s">
        <v>115</v>
      </c>
      <c r="I29" t="s">
        <v>176</v>
      </c>
      <c r="J29" t="s">
        <v>177</v>
      </c>
      <c r="K29">
        <v>3</v>
      </c>
      <c r="L29">
        <v>413.86</v>
      </c>
      <c r="M29">
        <v>1241.58</v>
      </c>
      <c r="N29" t="s">
        <v>67</v>
      </c>
      <c r="O29" t="s">
        <v>30</v>
      </c>
      <c r="P29" t="s">
        <v>31</v>
      </c>
      <c r="Q29" t="s">
        <v>99</v>
      </c>
      <c r="R29" t="s">
        <v>47</v>
      </c>
      <c r="S29" t="s">
        <v>34</v>
      </c>
      <c r="T29" t="s">
        <v>178</v>
      </c>
      <c r="U29" t="str">
        <f t="shared" si="0"/>
        <v>18-25</v>
      </c>
      <c r="V29" t="str">
        <f t="shared" si="1"/>
        <v>January</v>
      </c>
      <c r="W29" t="str">
        <f t="shared" si="2"/>
        <v>Q1</v>
      </c>
      <c r="X29">
        <f t="shared" si="3"/>
        <v>2025</v>
      </c>
      <c r="Y29" t="str">
        <f t="shared" si="8"/>
        <v>Medium</v>
      </c>
      <c r="Z29" t="str">
        <f t="shared" si="4"/>
        <v>Regular Buyer</v>
      </c>
      <c r="AA29" t="str">
        <f t="shared" si="5"/>
        <v>Regular</v>
      </c>
      <c r="AB29" s="4">
        <f t="shared" ca="1" si="6"/>
        <v>386</v>
      </c>
      <c r="AC29" t="str">
        <f t="shared" ca="1" si="7"/>
        <v>Churn Risk</v>
      </c>
    </row>
    <row r="30" spans="1:29" x14ac:dyDescent="0.3">
      <c r="A30" t="s">
        <v>179</v>
      </c>
      <c r="B30" t="s">
        <v>111</v>
      </c>
      <c r="C30">
        <v>49</v>
      </c>
      <c r="D30" t="s">
        <v>22</v>
      </c>
      <c r="E30" t="s">
        <v>106</v>
      </c>
      <c r="F30" t="s">
        <v>40</v>
      </c>
      <c r="G30" t="s">
        <v>91</v>
      </c>
      <c r="H30" t="s">
        <v>26</v>
      </c>
      <c r="I30" t="s">
        <v>27</v>
      </c>
      <c r="J30" t="s">
        <v>180</v>
      </c>
      <c r="K30">
        <v>3</v>
      </c>
      <c r="L30">
        <v>2735.35</v>
      </c>
      <c r="M30">
        <v>8206.0499999999993</v>
      </c>
      <c r="N30" t="s">
        <v>67</v>
      </c>
      <c r="O30" t="s">
        <v>30</v>
      </c>
      <c r="P30" t="s">
        <v>74</v>
      </c>
      <c r="Q30" t="s">
        <v>59</v>
      </c>
      <c r="R30" t="s">
        <v>47</v>
      </c>
      <c r="S30" t="s">
        <v>83</v>
      </c>
      <c r="T30" t="s">
        <v>181</v>
      </c>
      <c r="U30" t="str">
        <f t="shared" si="0"/>
        <v>46-55</v>
      </c>
      <c r="V30" t="str">
        <f t="shared" si="1"/>
        <v>March</v>
      </c>
      <c r="W30" t="str">
        <f t="shared" si="2"/>
        <v>Q1</v>
      </c>
      <c r="X30">
        <f t="shared" si="3"/>
        <v>2025</v>
      </c>
      <c r="Y30" t="str">
        <f t="shared" si="8"/>
        <v>Medium</v>
      </c>
      <c r="Z30" t="str">
        <f t="shared" si="4"/>
        <v>Regular Buyer</v>
      </c>
      <c r="AA30" t="str">
        <f t="shared" si="5"/>
        <v>Premium</v>
      </c>
      <c r="AB30" s="4">
        <f t="shared" ca="1" si="6"/>
        <v>441</v>
      </c>
      <c r="AC30" t="str">
        <f t="shared" ca="1" si="7"/>
        <v>Churn Risk</v>
      </c>
    </row>
    <row r="31" spans="1:29" x14ac:dyDescent="0.3">
      <c r="A31" t="s">
        <v>182</v>
      </c>
      <c r="B31" t="s">
        <v>159</v>
      </c>
      <c r="C31">
        <v>25</v>
      </c>
      <c r="D31" t="s">
        <v>22</v>
      </c>
      <c r="E31" t="s">
        <v>106</v>
      </c>
      <c r="F31" t="s">
        <v>40</v>
      </c>
      <c r="G31" t="s">
        <v>91</v>
      </c>
      <c r="H31" t="s">
        <v>26</v>
      </c>
      <c r="I31" t="s">
        <v>136</v>
      </c>
      <c r="J31" t="s">
        <v>183</v>
      </c>
      <c r="K31">
        <v>8</v>
      </c>
      <c r="L31">
        <v>291.87</v>
      </c>
      <c r="M31">
        <v>2334.96</v>
      </c>
      <c r="N31" t="s">
        <v>108</v>
      </c>
      <c r="O31" t="s">
        <v>30</v>
      </c>
      <c r="P31" t="s">
        <v>74</v>
      </c>
      <c r="Q31" t="s">
        <v>99</v>
      </c>
      <c r="R31" t="s">
        <v>33</v>
      </c>
      <c r="S31" t="s">
        <v>48</v>
      </c>
      <c r="T31" t="s">
        <v>184</v>
      </c>
      <c r="U31" t="str">
        <f t="shared" si="0"/>
        <v>18-25</v>
      </c>
      <c r="V31" t="str">
        <f t="shared" si="1"/>
        <v>January</v>
      </c>
      <c r="W31" t="str">
        <f t="shared" si="2"/>
        <v>Q1</v>
      </c>
      <c r="X31">
        <f t="shared" si="3"/>
        <v>2026</v>
      </c>
      <c r="Y31" t="str">
        <f t="shared" si="8"/>
        <v>High</v>
      </c>
      <c r="Z31" t="str">
        <f t="shared" si="4"/>
        <v>Discount Buyer</v>
      </c>
      <c r="AA31" t="str">
        <f t="shared" si="5"/>
        <v>Regular</v>
      </c>
      <c r="AB31" s="4">
        <f t="shared" ca="1" si="6"/>
        <v>147</v>
      </c>
      <c r="AC31" t="str">
        <f t="shared" ca="1" si="7"/>
        <v>At Risk</v>
      </c>
    </row>
    <row r="32" spans="1:29" x14ac:dyDescent="0.3">
      <c r="A32" t="s">
        <v>185</v>
      </c>
      <c r="B32" t="s">
        <v>111</v>
      </c>
      <c r="C32">
        <v>33</v>
      </c>
      <c r="D32" t="s">
        <v>22</v>
      </c>
      <c r="E32" t="s">
        <v>106</v>
      </c>
      <c r="F32" t="s">
        <v>40</v>
      </c>
      <c r="G32" t="s">
        <v>72</v>
      </c>
      <c r="H32" t="s">
        <v>26</v>
      </c>
      <c r="I32" t="s">
        <v>27</v>
      </c>
      <c r="J32" t="s">
        <v>186</v>
      </c>
      <c r="K32">
        <v>1</v>
      </c>
      <c r="L32">
        <v>1770.02</v>
      </c>
      <c r="M32">
        <v>1770.02</v>
      </c>
      <c r="N32" t="s">
        <v>98</v>
      </c>
      <c r="O32" t="s">
        <v>44</v>
      </c>
      <c r="P32" t="s">
        <v>68</v>
      </c>
      <c r="Q32" t="s">
        <v>46</v>
      </c>
      <c r="R32" t="s">
        <v>33</v>
      </c>
      <c r="S32" t="s">
        <v>83</v>
      </c>
      <c r="T32" t="s">
        <v>187</v>
      </c>
      <c r="U32" t="str">
        <f t="shared" si="0"/>
        <v>26-35</v>
      </c>
      <c r="V32" t="str">
        <f t="shared" si="1"/>
        <v>January</v>
      </c>
      <c r="W32" t="str">
        <f t="shared" si="2"/>
        <v>Q1</v>
      </c>
      <c r="X32">
        <f t="shared" si="3"/>
        <v>2025</v>
      </c>
      <c r="Y32" t="str">
        <f t="shared" si="8"/>
        <v>Medium</v>
      </c>
      <c r="Z32" t="str">
        <f t="shared" si="4"/>
        <v>Discount Buyer</v>
      </c>
      <c r="AA32" t="str">
        <f t="shared" si="5"/>
        <v>Regular</v>
      </c>
      <c r="AB32" s="4">
        <f t="shared" ca="1" si="6"/>
        <v>430</v>
      </c>
      <c r="AC32" t="str">
        <f t="shared" ca="1" si="7"/>
        <v>Churn Risk</v>
      </c>
    </row>
    <row r="33" spans="1:29" x14ac:dyDescent="0.3">
      <c r="A33" t="s">
        <v>188</v>
      </c>
      <c r="B33" t="s">
        <v>77</v>
      </c>
      <c r="C33">
        <v>26</v>
      </c>
      <c r="D33" t="s">
        <v>38</v>
      </c>
      <c r="E33" t="s">
        <v>163</v>
      </c>
      <c r="F33" t="s">
        <v>135</v>
      </c>
      <c r="G33" t="s">
        <v>72</v>
      </c>
      <c r="H33" t="s">
        <v>64</v>
      </c>
      <c r="I33" t="s">
        <v>189</v>
      </c>
      <c r="J33" t="s">
        <v>190</v>
      </c>
      <c r="K33">
        <v>1</v>
      </c>
      <c r="L33">
        <v>4656.83</v>
      </c>
      <c r="M33">
        <v>4656.83</v>
      </c>
      <c r="N33" t="s">
        <v>58</v>
      </c>
      <c r="O33" t="s">
        <v>44</v>
      </c>
      <c r="P33" t="s">
        <v>31</v>
      </c>
      <c r="Q33" t="s">
        <v>99</v>
      </c>
      <c r="R33" t="s">
        <v>33</v>
      </c>
      <c r="S33" t="s">
        <v>34</v>
      </c>
      <c r="T33" t="s">
        <v>191</v>
      </c>
      <c r="U33" t="str">
        <f t="shared" si="0"/>
        <v>26-35</v>
      </c>
      <c r="V33" t="str">
        <f t="shared" si="1"/>
        <v>May</v>
      </c>
      <c r="W33" t="str">
        <f t="shared" si="2"/>
        <v>Q2</v>
      </c>
      <c r="X33">
        <f t="shared" si="3"/>
        <v>2025</v>
      </c>
      <c r="Y33" t="str">
        <f t="shared" si="8"/>
        <v>Medium</v>
      </c>
      <c r="Z33" t="str">
        <f t="shared" si="4"/>
        <v>Discount Buyer</v>
      </c>
      <c r="AA33" t="str">
        <f t="shared" si="5"/>
        <v>Regular</v>
      </c>
      <c r="AB33" s="4">
        <f t="shared" ca="1" si="6"/>
        <v>270</v>
      </c>
      <c r="AC33" t="str">
        <f t="shared" ca="1" si="7"/>
        <v>Churn Risk</v>
      </c>
    </row>
    <row r="34" spans="1:29" x14ac:dyDescent="0.3">
      <c r="A34" t="s">
        <v>192</v>
      </c>
      <c r="B34" t="s">
        <v>21</v>
      </c>
      <c r="C34">
        <v>55</v>
      </c>
      <c r="D34" t="s">
        <v>22</v>
      </c>
      <c r="E34" t="s">
        <v>39</v>
      </c>
      <c r="F34" t="s">
        <v>40</v>
      </c>
      <c r="G34" t="s">
        <v>72</v>
      </c>
      <c r="H34" t="s">
        <v>129</v>
      </c>
      <c r="I34" t="s">
        <v>148</v>
      </c>
      <c r="J34" t="s">
        <v>193</v>
      </c>
      <c r="K34">
        <v>2</v>
      </c>
      <c r="L34">
        <v>4671.5</v>
      </c>
      <c r="M34">
        <v>9343</v>
      </c>
      <c r="N34" t="s">
        <v>67</v>
      </c>
      <c r="O34" t="s">
        <v>30</v>
      </c>
      <c r="P34" t="s">
        <v>31</v>
      </c>
      <c r="Q34" t="s">
        <v>59</v>
      </c>
      <c r="R34" t="s">
        <v>47</v>
      </c>
      <c r="S34" t="s">
        <v>48</v>
      </c>
      <c r="T34" t="s">
        <v>194</v>
      </c>
      <c r="U34" t="str">
        <f t="shared" si="0"/>
        <v>46-55</v>
      </c>
      <c r="V34" t="str">
        <f t="shared" si="1"/>
        <v>March</v>
      </c>
      <c r="W34" t="str">
        <f t="shared" si="2"/>
        <v>Q1</v>
      </c>
      <c r="X34">
        <f t="shared" si="3"/>
        <v>2025</v>
      </c>
      <c r="Y34" t="str">
        <f t="shared" si="8"/>
        <v>Medium</v>
      </c>
      <c r="Z34" t="str">
        <f t="shared" si="4"/>
        <v>Regular Buyer</v>
      </c>
      <c r="AA34" t="str">
        <f t="shared" si="5"/>
        <v>Premium</v>
      </c>
      <c r="AB34" s="4">
        <f t="shared" ca="1" si="6"/>
        <v>409</v>
      </c>
      <c r="AC34" t="str">
        <f t="shared" ca="1" si="7"/>
        <v>Churn Risk</v>
      </c>
    </row>
    <row r="35" spans="1:29" x14ac:dyDescent="0.3">
      <c r="A35" t="s">
        <v>195</v>
      </c>
      <c r="B35" t="s">
        <v>86</v>
      </c>
      <c r="C35">
        <v>36</v>
      </c>
      <c r="D35" t="s">
        <v>38</v>
      </c>
      <c r="E35" t="s">
        <v>23</v>
      </c>
      <c r="F35" t="s">
        <v>24</v>
      </c>
      <c r="G35" t="s">
        <v>152</v>
      </c>
      <c r="H35" t="s">
        <v>26</v>
      </c>
      <c r="I35" t="s">
        <v>27</v>
      </c>
      <c r="J35" t="s">
        <v>196</v>
      </c>
      <c r="K35">
        <v>5</v>
      </c>
      <c r="L35">
        <v>1575.74</v>
      </c>
      <c r="M35">
        <v>7878.7</v>
      </c>
      <c r="N35" t="s">
        <v>29</v>
      </c>
      <c r="O35" t="s">
        <v>44</v>
      </c>
      <c r="P35" t="s">
        <v>45</v>
      </c>
      <c r="Q35" t="s">
        <v>46</v>
      </c>
      <c r="R35" t="s">
        <v>47</v>
      </c>
      <c r="S35" t="s">
        <v>48</v>
      </c>
      <c r="T35" t="s">
        <v>197</v>
      </c>
      <c r="U35" t="str">
        <f t="shared" si="0"/>
        <v>36-45</v>
      </c>
      <c r="V35" t="str">
        <f t="shared" si="1"/>
        <v>October</v>
      </c>
      <c r="W35" t="str">
        <f t="shared" si="2"/>
        <v>Q4</v>
      </c>
      <c r="X35">
        <f t="shared" si="3"/>
        <v>2025</v>
      </c>
      <c r="Y35" t="str">
        <f t="shared" si="8"/>
        <v>High</v>
      </c>
      <c r="Z35" t="str">
        <f t="shared" si="4"/>
        <v>Regular Buyer</v>
      </c>
      <c r="AA35" t="str">
        <f t="shared" si="5"/>
        <v>Premium</v>
      </c>
      <c r="AB35" s="4">
        <f t="shared" ca="1" si="6"/>
        <v>212</v>
      </c>
      <c r="AC35" t="str">
        <f t="shared" ca="1" si="7"/>
        <v>Churn Risk</v>
      </c>
    </row>
    <row r="36" spans="1:29" x14ac:dyDescent="0.3">
      <c r="A36" t="s">
        <v>198</v>
      </c>
      <c r="B36" t="s">
        <v>51</v>
      </c>
      <c r="C36">
        <v>57</v>
      </c>
      <c r="D36" t="s">
        <v>22</v>
      </c>
      <c r="E36" t="s">
        <v>23</v>
      </c>
      <c r="F36" t="s">
        <v>24</v>
      </c>
      <c r="G36" t="s">
        <v>152</v>
      </c>
      <c r="H36" t="s">
        <v>55</v>
      </c>
      <c r="I36" t="s">
        <v>122</v>
      </c>
      <c r="J36" t="s">
        <v>199</v>
      </c>
      <c r="K36">
        <v>7</v>
      </c>
      <c r="L36">
        <v>2271.38</v>
      </c>
      <c r="M36">
        <v>15899.66</v>
      </c>
      <c r="N36" t="s">
        <v>29</v>
      </c>
      <c r="O36" t="s">
        <v>30</v>
      </c>
      <c r="P36" t="s">
        <v>31</v>
      </c>
      <c r="Q36" t="s">
        <v>32</v>
      </c>
      <c r="R36" t="s">
        <v>47</v>
      </c>
      <c r="S36" t="s">
        <v>83</v>
      </c>
      <c r="T36" t="s">
        <v>200</v>
      </c>
      <c r="U36" t="str">
        <f t="shared" si="0"/>
        <v>55+</v>
      </c>
      <c r="V36" t="str">
        <f t="shared" si="1"/>
        <v>May</v>
      </c>
      <c r="W36" t="str">
        <f t="shared" si="2"/>
        <v>Q2</v>
      </c>
      <c r="X36">
        <f t="shared" si="3"/>
        <v>2025</v>
      </c>
      <c r="Y36" t="str">
        <f t="shared" si="8"/>
        <v>High</v>
      </c>
      <c r="Z36" t="str">
        <f t="shared" si="4"/>
        <v>Regular Buyer</v>
      </c>
      <c r="AA36" t="str">
        <f t="shared" si="5"/>
        <v>VIP</v>
      </c>
      <c r="AB36" s="4">
        <f t="shared" ca="1" si="6"/>
        <v>290</v>
      </c>
      <c r="AC36" t="str">
        <f t="shared" ca="1" si="7"/>
        <v>Churn Risk</v>
      </c>
    </row>
    <row r="37" spans="1:29" x14ac:dyDescent="0.3">
      <c r="A37" t="s">
        <v>201</v>
      </c>
      <c r="B37" t="s">
        <v>51</v>
      </c>
      <c r="C37">
        <v>30</v>
      </c>
      <c r="D37" t="s">
        <v>38</v>
      </c>
      <c r="E37" t="s">
        <v>163</v>
      </c>
      <c r="F37" t="s">
        <v>135</v>
      </c>
      <c r="G37" t="s">
        <v>152</v>
      </c>
      <c r="H37" t="s">
        <v>41</v>
      </c>
      <c r="I37" t="s">
        <v>81</v>
      </c>
      <c r="J37" t="s">
        <v>202</v>
      </c>
      <c r="K37">
        <v>8</v>
      </c>
      <c r="L37">
        <v>559.02</v>
      </c>
      <c r="M37">
        <v>4472.16</v>
      </c>
      <c r="N37" t="s">
        <v>29</v>
      </c>
      <c r="O37" t="s">
        <v>44</v>
      </c>
      <c r="P37" t="s">
        <v>45</v>
      </c>
      <c r="Q37" t="s">
        <v>99</v>
      </c>
      <c r="R37" t="s">
        <v>47</v>
      </c>
      <c r="S37" t="s">
        <v>34</v>
      </c>
      <c r="T37" t="s">
        <v>203</v>
      </c>
      <c r="U37" t="str">
        <f t="shared" si="0"/>
        <v>26-35</v>
      </c>
      <c r="V37" t="str">
        <f t="shared" si="1"/>
        <v>July</v>
      </c>
      <c r="W37" t="str">
        <f t="shared" si="2"/>
        <v>Q3</v>
      </c>
      <c r="X37">
        <f t="shared" si="3"/>
        <v>2025</v>
      </c>
      <c r="Y37" t="str">
        <f t="shared" si="8"/>
        <v>High</v>
      </c>
      <c r="Z37" t="str">
        <f t="shared" si="4"/>
        <v>Regular Buyer</v>
      </c>
      <c r="AA37" t="str">
        <f t="shared" si="5"/>
        <v>Regular</v>
      </c>
      <c r="AB37" s="4">
        <f t="shared" ca="1" si="6"/>
        <v>308</v>
      </c>
      <c r="AC37" t="str">
        <f t="shared" ca="1" si="7"/>
        <v>Churn Risk</v>
      </c>
    </row>
    <row r="38" spans="1:29" x14ac:dyDescent="0.3">
      <c r="A38" t="s">
        <v>204</v>
      </c>
      <c r="B38" t="s">
        <v>120</v>
      </c>
      <c r="C38">
        <v>39</v>
      </c>
      <c r="D38" t="s">
        <v>38</v>
      </c>
      <c r="E38" t="s">
        <v>78</v>
      </c>
      <c r="F38" t="s">
        <v>79</v>
      </c>
      <c r="G38" t="s">
        <v>63</v>
      </c>
      <c r="H38" t="s">
        <v>129</v>
      </c>
      <c r="I38" t="s">
        <v>148</v>
      </c>
      <c r="J38" t="s">
        <v>205</v>
      </c>
      <c r="K38">
        <v>7</v>
      </c>
      <c r="L38">
        <v>1535.72</v>
      </c>
      <c r="M38">
        <v>10750.04</v>
      </c>
      <c r="N38" t="s">
        <v>67</v>
      </c>
      <c r="O38" t="s">
        <v>30</v>
      </c>
      <c r="P38" t="s">
        <v>31</v>
      </c>
      <c r="Q38" t="s">
        <v>99</v>
      </c>
      <c r="R38" t="s">
        <v>47</v>
      </c>
      <c r="S38" t="s">
        <v>142</v>
      </c>
      <c r="T38" t="s">
        <v>206</v>
      </c>
      <c r="U38" t="str">
        <f t="shared" si="0"/>
        <v>36-45</v>
      </c>
      <c r="V38" t="str">
        <f t="shared" si="1"/>
        <v>April</v>
      </c>
      <c r="W38" t="str">
        <f t="shared" si="2"/>
        <v>Q2</v>
      </c>
      <c r="X38">
        <f t="shared" si="3"/>
        <v>2025</v>
      </c>
      <c r="Y38" t="str">
        <f t="shared" si="8"/>
        <v>Medium</v>
      </c>
      <c r="Z38" t="str">
        <f t="shared" si="4"/>
        <v>Regular Buyer</v>
      </c>
      <c r="AA38" t="str">
        <f t="shared" si="5"/>
        <v>VIP</v>
      </c>
      <c r="AB38" s="4">
        <f t="shared" ca="1" si="6"/>
        <v>315</v>
      </c>
      <c r="AC38" t="str">
        <f t="shared" ca="1" si="7"/>
        <v>Churn Risk</v>
      </c>
    </row>
    <row r="39" spans="1:29" x14ac:dyDescent="0.3">
      <c r="A39" t="s">
        <v>207</v>
      </c>
      <c r="B39" t="s">
        <v>159</v>
      </c>
      <c r="C39">
        <v>38</v>
      </c>
      <c r="D39" t="s">
        <v>38</v>
      </c>
      <c r="E39" t="s">
        <v>52</v>
      </c>
      <c r="F39" t="s">
        <v>53</v>
      </c>
      <c r="G39" t="s">
        <v>72</v>
      </c>
      <c r="H39" t="s">
        <v>115</v>
      </c>
      <c r="I39" t="s">
        <v>176</v>
      </c>
      <c r="J39" t="s">
        <v>208</v>
      </c>
      <c r="K39">
        <v>6</v>
      </c>
      <c r="L39">
        <v>214.75</v>
      </c>
      <c r="M39">
        <v>1288.5</v>
      </c>
      <c r="N39" t="s">
        <v>108</v>
      </c>
      <c r="O39" t="s">
        <v>30</v>
      </c>
      <c r="P39" t="s">
        <v>74</v>
      </c>
      <c r="Q39" t="s">
        <v>46</v>
      </c>
      <c r="R39" t="s">
        <v>33</v>
      </c>
      <c r="S39" t="s">
        <v>83</v>
      </c>
      <c r="T39" t="s">
        <v>209</v>
      </c>
      <c r="U39" t="str">
        <f t="shared" si="0"/>
        <v>36-45</v>
      </c>
      <c r="V39" t="str">
        <f t="shared" si="1"/>
        <v>February</v>
      </c>
      <c r="W39" t="str">
        <f t="shared" si="2"/>
        <v>Q1</v>
      </c>
      <c r="X39">
        <f t="shared" si="3"/>
        <v>2026</v>
      </c>
      <c r="Y39" t="str">
        <f t="shared" si="8"/>
        <v>High</v>
      </c>
      <c r="Z39" t="str">
        <f t="shared" si="4"/>
        <v>Discount Buyer</v>
      </c>
      <c r="AA39" t="str">
        <f t="shared" si="5"/>
        <v>Regular</v>
      </c>
      <c r="AB39" s="4">
        <f t="shared" ca="1" si="6"/>
        <v>17</v>
      </c>
      <c r="AC39" t="str">
        <f t="shared" ca="1" si="7"/>
        <v>Active</v>
      </c>
    </row>
    <row r="40" spans="1:29" x14ac:dyDescent="0.3">
      <c r="A40" t="s">
        <v>210</v>
      </c>
      <c r="B40" t="s">
        <v>37</v>
      </c>
      <c r="C40">
        <v>53</v>
      </c>
      <c r="D40" t="s">
        <v>38</v>
      </c>
      <c r="E40" t="s">
        <v>163</v>
      </c>
      <c r="F40" t="s">
        <v>135</v>
      </c>
      <c r="G40" t="s">
        <v>54</v>
      </c>
      <c r="H40" t="s">
        <v>64</v>
      </c>
      <c r="I40" t="s">
        <v>102</v>
      </c>
      <c r="J40" t="s">
        <v>211</v>
      </c>
      <c r="K40">
        <v>8</v>
      </c>
      <c r="L40">
        <v>926.41</v>
      </c>
      <c r="M40">
        <v>7411.28</v>
      </c>
      <c r="N40" t="s">
        <v>29</v>
      </c>
      <c r="O40" t="s">
        <v>44</v>
      </c>
      <c r="P40" t="s">
        <v>31</v>
      </c>
      <c r="Q40" t="s">
        <v>32</v>
      </c>
      <c r="R40" t="s">
        <v>47</v>
      </c>
      <c r="S40" t="s">
        <v>83</v>
      </c>
      <c r="T40" t="s">
        <v>212</v>
      </c>
      <c r="U40" t="str">
        <f t="shared" si="0"/>
        <v>46-55</v>
      </c>
      <c r="V40" t="str">
        <f t="shared" si="1"/>
        <v>March</v>
      </c>
      <c r="W40" t="str">
        <f t="shared" si="2"/>
        <v>Q1</v>
      </c>
      <c r="X40">
        <f t="shared" si="3"/>
        <v>2025</v>
      </c>
      <c r="Y40" t="str">
        <f t="shared" si="8"/>
        <v>Medium</v>
      </c>
      <c r="Z40" t="str">
        <f t="shared" si="4"/>
        <v>Regular Buyer</v>
      </c>
      <c r="AA40" t="str">
        <f t="shared" si="5"/>
        <v>Premium</v>
      </c>
      <c r="AB40" s="4">
        <f t="shared" ca="1" si="6"/>
        <v>357</v>
      </c>
      <c r="AC40" t="str">
        <f t="shared" ca="1" si="7"/>
        <v>Churn Risk</v>
      </c>
    </row>
    <row r="41" spans="1:29" x14ac:dyDescent="0.3">
      <c r="A41" t="s">
        <v>213</v>
      </c>
      <c r="B41" t="s">
        <v>51</v>
      </c>
      <c r="C41">
        <v>45</v>
      </c>
      <c r="D41" t="s">
        <v>22</v>
      </c>
      <c r="E41" t="s">
        <v>62</v>
      </c>
      <c r="F41" t="s">
        <v>53</v>
      </c>
      <c r="G41" t="s">
        <v>72</v>
      </c>
      <c r="H41" t="s">
        <v>64</v>
      </c>
      <c r="I41" t="s">
        <v>102</v>
      </c>
      <c r="J41" t="s">
        <v>35</v>
      </c>
      <c r="K41">
        <v>1</v>
      </c>
      <c r="L41">
        <v>2559.65</v>
      </c>
      <c r="M41">
        <v>2559.65</v>
      </c>
      <c r="N41" t="s">
        <v>29</v>
      </c>
      <c r="O41" t="s">
        <v>44</v>
      </c>
      <c r="P41" t="s">
        <v>74</v>
      </c>
      <c r="Q41" t="s">
        <v>59</v>
      </c>
      <c r="R41" t="s">
        <v>47</v>
      </c>
      <c r="S41" t="s">
        <v>142</v>
      </c>
      <c r="T41" t="s">
        <v>214</v>
      </c>
      <c r="U41" t="str">
        <f t="shared" si="0"/>
        <v>36-45</v>
      </c>
      <c r="V41" t="str">
        <f t="shared" si="1"/>
        <v>May</v>
      </c>
      <c r="W41" t="str">
        <f t="shared" si="2"/>
        <v>Q2</v>
      </c>
      <c r="X41">
        <f t="shared" si="3"/>
        <v>2026</v>
      </c>
      <c r="Y41" t="str">
        <f t="shared" si="8"/>
        <v>High</v>
      </c>
      <c r="Z41" t="str">
        <f t="shared" si="4"/>
        <v>Regular Buyer</v>
      </c>
      <c r="AA41" t="str">
        <f t="shared" si="5"/>
        <v>Regular</v>
      </c>
      <c r="AB41" s="4">
        <f t="shared" ca="1" si="6"/>
        <v>-54</v>
      </c>
      <c r="AC41" t="str">
        <f t="shared" ca="1" si="7"/>
        <v>Active</v>
      </c>
    </row>
    <row r="42" spans="1:29" x14ac:dyDescent="0.3">
      <c r="A42" t="s">
        <v>215</v>
      </c>
      <c r="B42" t="s">
        <v>111</v>
      </c>
      <c r="C42">
        <v>42</v>
      </c>
      <c r="D42" t="s">
        <v>38</v>
      </c>
      <c r="E42" t="s">
        <v>163</v>
      </c>
      <c r="F42" t="s">
        <v>135</v>
      </c>
      <c r="G42" t="s">
        <v>80</v>
      </c>
      <c r="H42" t="s">
        <v>55</v>
      </c>
      <c r="I42" t="s">
        <v>122</v>
      </c>
      <c r="J42" t="s">
        <v>216</v>
      </c>
      <c r="K42">
        <v>8</v>
      </c>
      <c r="L42">
        <v>4756.62</v>
      </c>
      <c r="M42">
        <v>38052.959999999999</v>
      </c>
      <c r="N42" t="s">
        <v>58</v>
      </c>
      <c r="O42" t="s">
        <v>44</v>
      </c>
      <c r="P42" t="s">
        <v>68</v>
      </c>
      <c r="Q42" t="s">
        <v>32</v>
      </c>
      <c r="R42" t="s">
        <v>47</v>
      </c>
      <c r="S42" t="s">
        <v>48</v>
      </c>
      <c r="T42" t="s">
        <v>217</v>
      </c>
      <c r="U42" t="str">
        <f t="shared" si="0"/>
        <v>36-45</v>
      </c>
      <c r="V42" t="str">
        <f t="shared" si="1"/>
        <v>January</v>
      </c>
      <c r="W42" t="str">
        <f t="shared" si="2"/>
        <v>Q1</v>
      </c>
      <c r="X42">
        <f t="shared" si="3"/>
        <v>2026</v>
      </c>
      <c r="Y42" t="str">
        <f t="shared" si="8"/>
        <v>Medium</v>
      </c>
      <c r="Z42" t="str">
        <f t="shared" si="4"/>
        <v>Regular Buyer</v>
      </c>
      <c r="AA42" t="str">
        <f t="shared" si="5"/>
        <v>VIP</v>
      </c>
      <c r="AB42" s="4">
        <f t="shared" ca="1" si="6"/>
        <v>141</v>
      </c>
      <c r="AC42" t="str">
        <f t="shared" ca="1" si="7"/>
        <v>At Risk</v>
      </c>
    </row>
    <row r="43" spans="1:29" x14ac:dyDescent="0.3">
      <c r="A43" t="s">
        <v>218</v>
      </c>
      <c r="B43" t="s">
        <v>37</v>
      </c>
      <c r="C43">
        <v>39</v>
      </c>
      <c r="D43" t="s">
        <v>22</v>
      </c>
      <c r="E43" t="s">
        <v>121</v>
      </c>
      <c r="F43" t="s">
        <v>24</v>
      </c>
      <c r="G43" t="s">
        <v>91</v>
      </c>
      <c r="H43" t="s">
        <v>64</v>
      </c>
      <c r="I43" t="s">
        <v>102</v>
      </c>
      <c r="J43" t="s">
        <v>219</v>
      </c>
      <c r="K43">
        <v>3</v>
      </c>
      <c r="L43">
        <v>4395.2700000000004</v>
      </c>
      <c r="M43">
        <v>13185.81</v>
      </c>
      <c r="N43" t="s">
        <v>29</v>
      </c>
      <c r="O43" t="s">
        <v>30</v>
      </c>
      <c r="P43" t="s">
        <v>31</v>
      </c>
      <c r="Q43" t="s">
        <v>32</v>
      </c>
      <c r="R43" t="s">
        <v>33</v>
      </c>
      <c r="S43" t="s">
        <v>142</v>
      </c>
      <c r="T43" t="s">
        <v>220</v>
      </c>
      <c r="U43" t="str">
        <f t="shared" si="0"/>
        <v>36-45</v>
      </c>
      <c r="V43" t="str">
        <f t="shared" si="1"/>
        <v>June</v>
      </c>
      <c r="W43" t="str">
        <f t="shared" si="2"/>
        <v>Q2</v>
      </c>
      <c r="X43">
        <f t="shared" si="3"/>
        <v>2025</v>
      </c>
      <c r="Y43" t="str">
        <f t="shared" si="8"/>
        <v>High</v>
      </c>
      <c r="Z43" t="str">
        <f t="shared" si="4"/>
        <v>Discount Buyer</v>
      </c>
      <c r="AA43" t="str">
        <f t="shared" si="5"/>
        <v>VIP</v>
      </c>
      <c r="AB43" s="4">
        <f t="shared" ca="1" si="6"/>
        <v>338</v>
      </c>
      <c r="AC43" t="str">
        <f t="shared" ca="1" si="7"/>
        <v>Churn Risk</v>
      </c>
    </row>
    <row r="44" spans="1:29" x14ac:dyDescent="0.3">
      <c r="A44" t="s">
        <v>221</v>
      </c>
      <c r="B44" t="s">
        <v>51</v>
      </c>
      <c r="C44">
        <v>22</v>
      </c>
      <c r="D44" t="s">
        <v>22</v>
      </c>
      <c r="E44" t="s">
        <v>121</v>
      </c>
      <c r="F44" t="s">
        <v>24</v>
      </c>
      <c r="G44" t="s">
        <v>63</v>
      </c>
      <c r="H44" t="s">
        <v>26</v>
      </c>
      <c r="I44" t="s">
        <v>140</v>
      </c>
      <c r="J44" t="s">
        <v>222</v>
      </c>
      <c r="K44">
        <v>4</v>
      </c>
      <c r="L44">
        <v>2496.67</v>
      </c>
      <c r="M44">
        <v>9986.68</v>
      </c>
      <c r="N44" t="s">
        <v>67</v>
      </c>
      <c r="O44" t="s">
        <v>44</v>
      </c>
      <c r="P44" t="s">
        <v>74</v>
      </c>
      <c r="Q44" t="s">
        <v>46</v>
      </c>
      <c r="R44" t="s">
        <v>33</v>
      </c>
      <c r="S44" t="s">
        <v>48</v>
      </c>
      <c r="T44" t="s">
        <v>223</v>
      </c>
      <c r="U44" t="str">
        <f t="shared" si="0"/>
        <v>18-25</v>
      </c>
      <c r="V44" t="str">
        <f t="shared" si="1"/>
        <v>March</v>
      </c>
      <c r="W44" t="str">
        <f t="shared" si="2"/>
        <v>Q1</v>
      </c>
      <c r="X44">
        <f t="shared" si="3"/>
        <v>2025</v>
      </c>
      <c r="Y44" t="str">
        <f t="shared" si="8"/>
        <v>High</v>
      </c>
      <c r="Z44" t="str">
        <f t="shared" si="4"/>
        <v>Discount Buyer</v>
      </c>
      <c r="AA44" t="str">
        <f t="shared" si="5"/>
        <v>Premium</v>
      </c>
      <c r="AB44" s="4">
        <f t="shared" ca="1" si="6"/>
        <v>444</v>
      </c>
      <c r="AC44" t="str">
        <f t="shared" ca="1" si="7"/>
        <v>Churn Risk</v>
      </c>
    </row>
    <row r="45" spans="1:29" x14ac:dyDescent="0.3">
      <c r="A45" t="s">
        <v>224</v>
      </c>
      <c r="B45" t="s">
        <v>77</v>
      </c>
      <c r="C45">
        <v>41</v>
      </c>
      <c r="D45" t="s">
        <v>38</v>
      </c>
      <c r="E45" t="s">
        <v>39</v>
      </c>
      <c r="F45" t="s">
        <v>40</v>
      </c>
      <c r="G45" t="s">
        <v>80</v>
      </c>
      <c r="H45" t="s">
        <v>55</v>
      </c>
      <c r="I45" t="s">
        <v>122</v>
      </c>
      <c r="J45" t="s">
        <v>225</v>
      </c>
      <c r="K45">
        <v>3</v>
      </c>
      <c r="L45">
        <v>3912.08</v>
      </c>
      <c r="M45">
        <v>11736.24</v>
      </c>
      <c r="N45" t="s">
        <v>98</v>
      </c>
      <c r="O45" t="s">
        <v>44</v>
      </c>
      <c r="P45" t="s">
        <v>68</v>
      </c>
      <c r="Q45" t="s">
        <v>46</v>
      </c>
      <c r="R45" t="s">
        <v>47</v>
      </c>
      <c r="S45" t="s">
        <v>48</v>
      </c>
      <c r="T45" t="s">
        <v>226</v>
      </c>
      <c r="U45" t="str">
        <f t="shared" si="0"/>
        <v>36-45</v>
      </c>
      <c r="V45" t="str">
        <f t="shared" si="1"/>
        <v>January</v>
      </c>
      <c r="W45" t="str">
        <f t="shared" si="2"/>
        <v>Q1</v>
      </c>
      <c r="X45">
        <f t="shared" si="3"/>
        <v>2025</v>
      </c>
      <c r="Y45" t="str">
        <f t="shared" si="8"/>
        <v>High</v>
      </c>
      <c r="Z45" t="str">
        <f t="shared" si="4"/>
        <v>Regular Buyer</v>
      </c>
      <c r="AA45" t="str">
        <f t="shared" si="5"/>
        <v>VIP</v>
      </c>
      <c r="AB45" s="4">
        <f t="shared" ca="1" si="6"/>
        <v>505</v>
      </c>
      <c r="AC45" t="str">
        <f t="shared" ca="1" si="7"/>
        <v>Churn Risk</v>
      </c>
    </row>
    <row r="46" spans="1:29" x14ac:dyDescent="0.3">
      <c r="A46" t="s">
        <v>227</v>
      </c>
      <c r="B46" t="s">
        <v>51</v>
      </c>
      <c r="C46">
        <v>32</v>
      </c>
      <c r="D46" t="s">
        <v>22</v>
      </c>
      <c r="E46" t="s">
        <v>134</v>
      </c>
      <c r="F46" t="s">
        <v>135</v>
      </c>
      <c r="G46" t="s">
        <v>72</v>
      </c>
      <c r="H46" t="s">
        <v>115</v>
      </c>
      <c r="I46" t="s">
        <v>228</v>
      </c>
      <c r="J46" t="s">
        <v>229</v>
      </c>
      <c r="K46">
        <v>8</v>
      </c>
      <c r="L46">
        <v>973.59</v>
      </c>
      <c r="M46">
        <v>7788.72</v>
      </c>
      <c r="N46" t="s">
        <v>67</v>
      </c>
      <c r="O46" t="s">
        <v>30</v>
      </c>
      <c r="P46" t="s">
        <v>68</v>
      </c>
      <c r="Q46" t="s">
        <v>32</v>
      </c>
      <c r="R46" t="s">
        <v>33</v>
      </c>
      <c r="S46" t="s">
        <v>34</v>
      </c>
      <c r="T46" t="s">
        <v>230</v>
      </c>
      <c r="U46" t="str">
        <f t="shared" si="0"/>
        <v>26-35</v>
      </c>
      <c r="V46" t="str">
        <f t="shared" si="1"/>
        <v>September</v>
      </c>
      <c r="W46" t="str">
        <f t="shared" si="2"/>
        <v>Q3</v>
      </c>
      <c r="X46">
        <f t="shared" si="3"/>
        <v>2025</v>
      </c>
      <c r="Y46" t="str">
        <f t="shared" si="8"/>
        <v>High</v>
      </c>
      <c r="Z46" t="str">
        <f t="shared" si="4"/>
        <v>Discount Buyer</v>
      </c>
      <c r="AA46" t="str">
        <f t="shared" si="5"/>
        <v>Premium</v>
      </c>
      <c r="AB46" s="4">
        <f t="shared" ca="1" si="6"/>
        <v>159</v>
      </c>
      <c r="AC46" t="str">
        <f t="shared" ca="1" si="7"/>
        <v>At Risk</v>
      </c>
    </row>
    <row r="47" spans="1:29" x14ac:dyDescent="0.3">
      <c r="A47" t="s">
        <v>231</v>
      </c>
      <c r="B47" t="s">
        <v>37</v>
      </c>
      <c r="C47">
        <v>30</v>
      </c>
      <c r="D47" t="s">
        <v>38</v>
      </c>
      <c r="E47" t="s">
        <v>52</v>
      </c>
      <c r="F47" t="s">
        <v>53</v>
      </c>
      <c r="G47" t="s">
        <v>54</v>
      </c>
      <c r="H47" t="s">
        <v>64</v>
      </c>
      <c r="I47" t="s">
        <v>65</v>
      </c>
      <c r="J47" t="s">
        <v>232</v>
      </c>
      <c r="K47">
        <v>1</v>
      </c>
      <c r="L47">
        <v>701.96</v>
      </c>
      <c r="M47">
        <v>701.96</v>
      </c>
      <c r="N47" t="s">
        <v>108</v>
      </c>
      <c r="O47" t="s">
        <v>30</v>
      </c>
      <c r="P47" t="s">
        <v>68</v>
      </c>
      <c r="Q47" t="s">
        <v>59</v>
      </c>
      <c r="R47" t="s">
        <v>33</v>
      </c>
      <c r="S47" t="s">
        <v>48</v>
      </c>
      <c r="T47" t="s">
        <v>233</v>
      </c>
      <c r="U47" t="str">
        <f t="shared" si="0"/>
        <v>26-35</v>
      </c>
      <c r="V47" t="str">
        <f t="shared" si="1"/>
        <v>July</v>
      </c>
      <c r="W47" t="str">
        <f t="shared" si="2"/>
        <v>Q3</v>
      </c>
      <c r="X47">
        <f t="shared" si="3"/>
        <v>2025</v>
      </c>
      <c r="Y47" t="str">
        <f t="shared" si="8"/>
        <v>High</v>
      </c>
      <c r="Z47" t="str">
        <f t="shared" si="4"/>
        <v>Discount Buyer</v>
      </c>
      <c r="AA47" t="str">
        <f t="shared" si="5"/>
        <v>Regular</v>
      </c>
      <c r="AB47" s="4">
        <f t="shared" ca="1" si="6"/>
        <v>333</v>
      </c>
      <c r="AC47" t="str">
        <f t="shared" ca="1" si="7"/>
        <v>Churn Risk</v>
      </c>
    </row>
    <row r="48" spans="1:29" x14ac:dyDescent="0.3">
      <c r="A48" t="s">
        <v>234</v>
      </c>
      <c r="B48" t="s">
        <v>37</v>
      </c>
      <c r="C48">
        <v>44</v>
      </c>
      <c r="D48" t="s">
        <v>22</v>
      </c>
      <c r="E48" t="s">
        <v>106</v>
      </c>
      <c r="F48" t="s">
        <v>40</v>
      </c>
      <c r="G48" t="s">
        <v>25</v>
      </c>
      <c r="H48" t="s">
        <v>26</v>
      </c>
      <c r="I48" t="s">
        <v>27</v>
      </c>
      <c r="J48" t="s">
        <v>197</v>
      </c>
      <c r="K48">
        <v>3</v>
      </c>
      <c r="L48">
        <v>866.49</v>
      </c>
      <c r="M48">
        <v>2599.4699999999998</v>
      </c>
      <c r="N48" t="s">
        <v>29</v>
      </c>
      <c r="O48" t="s">
        <v>44</v>
      </c>
      <c r="P48" t="s">
        <v>45</v>
      </c>
      <c r="Q48" t="s">
        <v>99</v>
      </c>
      <c r="R48" t="s">
        <v>33</v>
      </c>
      <c r="S48" t="s">
        <v>48</v>
      </c>
      <c r="T48" t="s">
        <v>235</v>
      </c>
      <c r="U48" t="str">
        <f t="shared" si="0"/>
        <v>36-45</v>
      </c>
      <c r="V48" t="str">
        <f t="shared" si="1"/>
        <v>November</v>
      </c>
      <c r="W48" t="str">
        <f t="shared" si="2"/>
        <v>Q4</v>
      </c>
      <c r="X48">
        <f t="shared" si="3"/>
        <v>2025</v>
      </c>
      <c r="Y48" t="str">
        <f t="shared" si="8"/>
        <v>Low</v>
      </c>
      <c r="Z48" t="str">
        <f t="shared" si="4"/>
        <v>Discount Buyer</v>
      </c>
      <c r="AA48" t="str">
        <f t="shared" si="5"/>
        <v>Regular</v>
      </c>
      <c r="AB48" s="4">
        <f t="shared" ca="1" si="6"/>
        <v>211</v>
      </c>
      <c r="AC48" t="str">
        <f t="shared" ca="1" si="7"/>
        <v>Churn Risk</v>
      </c>
    </row>
    <row r="49" spans="1:29" x14ac:dyDescent="0.3">
      <c r="A49" t="s">
        <v>236</v>
      </c>
      <c r="B49" t="s">
        <v>71</v>
      </c>
      <c r="C49">
        <v>29</v>
      </c>
      <c r="D49" t="s">
        <v>38</v>
      </c>
      <c r="E49" t="s">
        <v>39</v>
      </c>
      <c r="F49" t="s">
        <v>40</v>
      </c>
      <c r="G49" t="s">
        <v>72</v>
      </c>
      <c r="H49" t="s">
        <v>64</v>
      </c>
      <c r="I49" t="s">
        <v>189</v>
      </c>
      <c r="J49" t="s">
        <v>237</v>
      </c>
      <c r="K49">
        <v>8</v>
      </c>
      <c r="L49">
        <v>149.56</v>
      </c>
      <c r="M49">
        <v>1196.48</v>
      </c>
      <c r="N49" t="s">
        <v>67</v>
      </c>
      <c r="O49" t="s">
        <v>44</v>
      </c>
      <c r="P49" t="s">
        <v>74</v>
      </c>
      <c r="Q49" t="s">
        <v>99</v>
      </c>
      <c r="R49" t="s">
        <v>47</v>
      </c>
      <c r="S49" t="s">
        <v>48</v>
      </c>
      <c r="T49" t="s">
        <v>238</v>
      </c>
      <c r="U49" t="str">
        <f t="shared" si="0"/>
        <v>26-35</v>
      </c>
      <c r="V49" t="str">
        <f t="shared" si="1"/>
        <v>March</v>
      </c>
      <c r="W49" t="str">
        <f t="shared" si="2"/>
        <v>Q1</v>
      </c>
      <c r="X49">
        <f t="shared" si="3"/>
        <v>2026</v>
      </c>
      <c r="Y49" t="str">
        <f t="shared" si="8"/>
        <v>Medium</v>
      </c>
      <c r="Z49" t="str">
        <f t="shared" si="4"/>
        <v>Regular Buyer</v>
      </c>
      <c r="AA49" t="str">
        <f t="shared" si="5"/>
        <v>Regular</v>
      </c>
      <c r="AB49" s="4">
        <f t="shared" ca="1" si="6"/>
        <v>-25</v>
      </c>
      <c r="AC49" t="str">
        <f t="shared" ca="1" si="7"/>
        <v>Active</v>
      </c>
    </row>
    <row r="50" spans="1:29" x14ac:dyDescent="0.3">
      <c r="A50" t="s">
        <v>239</v>
      </c>
      <c r="B50" t="s">
        <v>21</v>
      </c>
      <c r="C50">
        <v>47</v>
      </c>
      <c r="D50" t="s">
        <v>38</v>
      </c>
      <c r="E50" t="s">
        <v>39</v>
      </c>
      <c r="F50" t="s">
        <v>40</v>
      </c>
      <c r="G50" t="s">
        <v>80</v>
      </c>
      <c r="H50" t="s">
        <v>26</v>
      </c>
      <c r="I50" t="s">
        <v>27</v>
      </c>
      <c r="J50" t="s">
        <v>240</v>
      </c>
      <c r="K50">
        <v>6</v>
      </c>
      <c r="L50">
        <v>4611.7299999999996</v>
      </c>
      <c r="M50">
        <v>27670.38</v>
      </c>
      <c r="N50" t="s">
        <v>108</v>
      </c>
      <c r="O50" t="s">
        <v>30</v>
      </c>
      <c r="P50" t="s">
        <v>31</v>
      </c>
      <c r="Q50" t="s">
        <v>99</v>
      </c>
      <c r="R50" t="s">
        <v>33</v>
      </c>
      <c r="S50" t="s">
        <v>142</v>
      </c>
      <c r="T50" t="s">
        <v>241</v>
      </c>
      <c r="U50" t="str">
        <f t="shared" si="0"/>
        <v>46-55</v>
      </c>
      <c r="V50" t="str">
        <f t="shared" si="1"/>
        <v>October</v>
      </c>
      <c r="W50" t="str">
        <f t="shared" si="2"/>
        <v>Q4</v>
      </c>
      <c r="X50">
        <f t="shared" si="3"/>
        <v>2025</v>
      </c>
      <c r="Y50" t="str">
        <f t="shared" si="8"/>
        <v>Medium</v>
      </c>
      <c r="Z50" t="str">
        <f t="shared" si="4"/>
        <v>Discount Buyer</v>
      </c>
      <c r="AA50" t="str">
        <f t="shared" si="5"/>
        <v>VIP</v>
      </c>
      <c r="AB50" s="4">
        <f t="shared" ca="1" si="6"/>
        <v>165</v>
      </c>
      <c r="AC50" t="str">
        <f t="shared" ca="1" si="7"/>
        <v>At Risk</v>
      </c>
    </row>
    <row r="51" spans="1:29" x14ac:dyDescent="0.3">
      <c r="A51" t="s">
        <v>242</v>
      </c>
      <c r="B51" t="s">
        <v>111</v>
      </c>
      <c r="C51">
        <v>38</v>
      </c>
      <c r="D51" t="s">
        <v>38</v>
      </c>
      <c r="E51" t="s">
        <v>163</v>
      </c>
      <c r="F51" t="s">
        <v>135</v>
      </c>
      <c r="G51" t="s">
        <v>25</v>
      </c>
      <c r="H51" t="s">
        <v>26</v>
      </c>
      <c r="I51" t="s">
        <v>27</v>
      </c>
      <c r="J51" t="s">
        <v>243</v>
      </c>
      <c r="K51">
        <v>3</v>
      </c>
      <c r="L51">
        <v>932.11</v>
      </c>
      <c r="M51">
        <v>2796.33</v>
      </c>
      <c r="N51" t="s">
        <v>29</v>
      </c>
      <c r="O51" t="s">
        <v>30</v>
      </c>
      <c r="P51" t="s">
        <v>68</v>
      </c>
      <c r="Q51" t="s">
        <v>32</v>
      </c>
      <c r="R51" t="s">
        <v>33</v>
      </c>
      <c r="S51" t="s">
        <v>83</v>
      </c>
      <c r="T51" t="s">
        <v>244</v>
      </c>
      <c r="U51" t="str">
        <f t="shared" si="0"/>
        <v>36-45</v>
      </c>
      <c r="V51" t="str">
        <f t="shared" si="1"/>
        <v>November</v>
      </c>
      <c r="W51" t="str">
        <f t="shared" si="2"/>
        <v>Q4</v>
      </c>
      <c r="X51">
        <f t="shared" si="3"/>
        <v>2025</v>
      </c>
      <c r="Y51" t="str">
        <f t="shared" si="8"/>
        <v>High</v>
      </c>
      <c r="Z51" t="str">
        <f t="shared" si="4"/>
        <v>Discount Buyer</v>
      </c>
      <c r="AA51" t="str">
        <f t="shared" si="5"/>
        <v>Regular</v>
      </c>
      <c r="AB51" s="4">
        <f t="shared" ca="1" si="6"/>
        <v>84</v>
      </c>
      <c r="AC51" t="str">
        <f t="shared" ca="1" si="7"/>
        <v>At Risk</v>
      </c>
    </row>
    <row r="52" spans="1:29" x14ac:dyDescent="0.3">
      <c r="A52" t="s">
        <v>245</v>
      </c>
      <c r="B52" t="s">
        <v>86</v>
      </c>
      <c r="C52">
        <v>60</v>
      </c>
      <c r="D52" t="s">
        <v>22</v>
      </c>
      <c r="E52" t="s">
        <v>106</v>
      </c>
      <c r="F52" t="s">
        <v>40</v>
      </c>
      <c r="G52" t="s">
        <v>91</v>
      </c>
      <c r="H52" t="s">
        <v>41</v>
      </c>
      <c r="I52" t="s">
        <v>42</v>
      </c>
      <c r="J52" t="s">
        <v>246</v>
      </c>
      <c r="K52">
        <v>5</v>
      </c>
      <c r="L52">
        <v>1407.56</v>
      </c>
      <c r="M52">
        <v>7037.8</v>
      </c>
      <c r="N52" t="s">
        <v>29</v>
      </c>
      <c r="O52" t="s">
        <v>44</v>
      </c>
      <c r="P52" t="s">
        <v>68</v>
      </c>
      <c r="Q52" t="s">
        <v>59</v>
      </c>
      <c r="R52" t="s">
        <v>33</v>
      </c>
      <c r="S52" t="s">
        <v>83</v>
      </c>
      <c r="T52" t="s">
        <v>247</v>
      </c>
      <c r="U52" t="str">
        <f t="shared" si="0"/>
        <v>55+</v>
      </c>
      <c r="V52" t="str">
        <f t="shared" si="1"/>
        <v>June</v>
      </c>
      <c r="W52" t="str">
        <f t="shared" si="2"/>
        <v>Q2</v>
      </c>
      <c r="X52">
        <f t="shared" si="3"/>
        <v>2025</v>
      </c>
      <c r="Y52" t="str">
        <f t="shared" si="8"/>
        <v>Medium</v>
      </c>
      <c r="Z52" t="str">
        <f t="shared" si="4"/>
        <v>Discount Buyer</v>
      </c>
      <c r="AA52" t="str">
        <f t="shared" si="5"/>
        <v>Premium</v>
      </c>
      <c r="AB52" s="4">
        <f t="shared" ca="1" si="6"/>
        <v>275</v>
      </c>
      <c r="AC52" t="str">
        <f t="shared" ca="1" si="7"/>
        <v>Churn Risk</v>
      </c>
    </row>
    <row r="53" spans="1:29" x14ac:dyDescent="0.3">
      <c r="A53" t="s">
        <v>248</v>
      </c>
      <c r="B53" t="s">
        <v>37</v>
      </c>
      <c r="C53">
        <v>33</v>
      </c>
      <c r="D53" t="s">
        <v>22</v>
      </c>
      <c r="E53" t="s">
        <v>106</v>
      </c>
      <c r="F53" t="s">
        <v>40</v>
      </c>
      <c r="G53" t="s">
        <v>25</v>
      </c>
      <c r="H53" t="s">
        <v>26</v>
      </c>
      <c r="I53" t="s">
        <v>27</v>
      </c>
      <c r="J53" t="s">
        <v>249</v>
      </c>
      <c r="K53">
        <v>8</v>
      </c>
      <c r="L53">
        <v>3135.21</v>
      </c>
      <c r="M53">
        <v>25081.68</v>
      </c>
      <c r="N53" t="s">
        <v>108</v>
      </c>
      <c r="O53" t="s">
        <v>44</v>
      </c>
      <c r="P53" t="s">
        <v>68</v>
      </c>
      <c r="Q53" t="s">
        <v>46</v>
      </c>
      <c r="R53" t="s">
        <v>47</v>
      </c>
      <c r="S53" t="s">
        <v>48</v>
      </c>
      <c r="T53" t="s">
        <v>250</v>
      </c>
      <c r="U53" t="str">
        <f t="shared" si="0"/>
        <v>26-35</v>
      </c>
      <c r="V53" t="str">
        <f t="shared" si="1"/>
        <v>April</v>
      </c>
      <c r="W53" t="str">
        <f t="shared" si="2"/>
        <v>Q2</v>
      </c>
      <c r="X53">
        <f t="shared" si="3"/>
        <v>2025</v>
      </c>
      <c r="Y53" t="str">
        <f t="shared" si="8"/>
        <v>High</v>
      </c>
      <c r="Z53" t="str">
        <f t="shared" si="4"/>
        <v>Regular Buyer</v>
      </c>
      <c r="AA53" t="str">
        <f t="shared" si="5"/>
        <v>VIP</v>
      </c>
      <c r="AB53" s="4">
        <f t="shared" ca="1" si="6"/>
        <v>423</v>
      </c>
      <c r="AC53" t="str">
        <f t="shared" ca="1" si="7"/>
        <v>Churn Risk</v>
      </c>
    </row>
    <row r="54" spans="1:29" x14ac:dyDescent="0.3">
      <c r="A54" t="s">
        <v>251</v>
      </c>
      <c r="B54" t="s">
        <v>86</v>
      </c>
      <c r="C54">
        <v>51</v>
      </c>
      <c r="D54" t="s">
        <v>22</v>
      </c>
      <c r="E54" t="s">
        <v>87</v>
      </c>
      <c r="F54" t="s">
        <v>79</v>
      </c>
      <c r="G54" t="s">
        <v>80</v>
      </c>
      <c r="H54" t="s">
        <v>64</v>
      </c>
      <c r="I54" t="s">
        <v>102</v>
      </c>
      <c r="J54" t="s">
        <v>252</v>
      </c>
      <c r="K54">
        <v>7</v>
      </c>
      <c r="L54">
        <v>1614.89</v>
      </c>
      <c r="M54">
        <v>11304.23</v>
      </c>
      <c r="N54" t="s">
        <v>29</v>
      </c>
      <c r="O54" t="s">
        <v>44</v>
      </c>
      <c r="P54" t="s">
        <v>45</v>
      </c>
      <c r="Q54" t="s">
        <v>59</v>
      </c>
      <c r="R54" t="s">
        <v>47</v>
      </c>
      <c r="S54" t="s">
        <v>48</v>
      </c>
      <c r="T54" t="s">
        <v>253</v>
      </c>
      <c r="U54" t="str">
        <f t="shared" si="0"/>
        <v>46-55</v>
      </c>
      <c r="V54" t="str">
        <f t="shared" si="1"/>
        <v>April</v>
      </c>
      <c r="W54" t="str">
        <f t="shared" si="2"/>
        <v>Q2</v>
      </c>
      <c r="X54">
        <f t="shared" si="3"/>
        <v>2026</v>
      </c>
      <c r="Y54" t="str">
        <f t="shared" si="8"/>
        <v>High</v>
      </c>
      <c r="Z54" t="str">
        <f t="shared" si="4"/>
        <v>Regular Buyer</v>
      </c>
      <c r="AA54" t="str">
        <f t="shared" si="5"/>
        <v>VIP</v>
      </c>
      <c r="AB54" s="4">
        <f t="shared" ca="1" si="6"/>
        <v>41</v>
      </c>
      <c r="AC54" t="str">
        <f t="shared" ca="1" si="7"/>
        <v>At Risk</v>
      </c>
    </row>
    <row r="55" spans="1:29" x14ac:dyDescent="0.3">
      <c r="A55" t="s">
        <v>254</v>
      </c>
      <c r="B55" t="s">
        <v>86</v>
      </c>
      <c r="C55">
        <v>29</v>
      </c>
      <c r="D55" t="s">
        <v>38</v>
      </c>
      <c r="E55" t="s">
        <v>163</v>
      </c>
      <c r="F55" t="s">
        <v>135</v>
      </c>
      <c r="G55" t="s">
        <v>80</v>
      </c>
      <c r="H55" t="s">
        <v>129</v>
      </c>
      <c r="I55" t="s">
        <v>148</v>
      </c>
      <c r="J55" t="s">
        <v>255</v>
      </c>
      <c r="K55">
        <v>5</v>
      </c>
      <c r="L55">
        <v>932.9</v>
      </c>
      <c r="M55">
        <v>4664.5</v>
      </c>
      <c r="N55" t="s">
        <v>58</v>
      </c>
      <c r="O55" t="s">
        <v>30</v>
      </c>
      <c r="P55" t="s">
        <v>45</v>
      </c>
      <c r="Q55" t="s">
        <v>99</v>
      </c>
      <c r="R55" t="s">
        <v>47</v>
      </c>
      <c r="S55" t="s">
        <v>142</v>
      </c>
      <c r="T55" t="s">
        <v>256</v>
      </c>
      <c r="U55" t="str">
        <f t="shared" si="0"/>
        <v>26-35</v>
      </c>
      <c r="V55" t="str">
        <f t="shared" si="1"/>
        <v>May</v>
      </c>
      <c r="W55" t="str">
        <f t="shared" si="2"/>
        <v>Q2</v>
      </c>
      <c r="X55">
        <f t="shared" si="3"/>
        <v>2025</v>
      </c>
      <c r="Y55" t="str">
        <f t="shared" si="8"/>
        <v>High</v>
      </c>
      <c r="Z55" t="str">
        <f t="shared" si="4"/>
        <v>Regular Buyer</v>
      </c>
      <c r="AA55" t="str">
        <f t="shared" si="5"/>
        <v>Regular</v>
      </c>
      <c r="AB55" s="4">
        <f t="shared" ca="1" si="6"/>
        <v>343</v>
      </c>
      <c r="AC55" t="str">
        <f t="shared" ca="1" si="7"/>
        <v>Churn Risk</v>
      </c>
    </row>
    <row r="56" spans="1:29" x14ac:dyDescent="0.3">
      <c r="A56" t="s">
        <v>257</v>
      </c>
      <c r="B56" t="s">
        <v>86</v>
      </c>
      <c r="C56">
        <v>47</v>
      </c>
      <c r="D56" t="s">
        <v>22</v>
      </c>
      <c r="E56" t="s">
        <v>78</v>
      </c>
      <c r="F56" t="s">
        <v>79</v>
      </c>
      <c r="G56" t="s">
        <v>72</v>
      </c>
      <c r="H56" t="s">
        <v>26</v>
      </c>
      <c r="I56" t="s">
        <v>140</v>
      </c>
      <c r="J56" t="s">
        <v>258</v>
      </c>
      <c r="K56">
        <v>4</v>
      </c>
      <c r="L56">
        <v>3858.93</v>
      </c>
      <c r="M56">
        <v>15435.72</v>
      </c>
      <c r="N56" t="s">
        <v>108</v>
      </c>
      <c r="O56" t="s">
        <v>30</v>
      </c>
      <c r="P56" t="s">
        <v>45</v>
      </c>
      <c r="Q56" t="s">
        <v>59</v>
      </c>
      <c r="R56" t="s">
        <v>33</v>
      </c>
      <c r="S56" t="s">
        <v>34</v>
      </c>
      <c r="T56" t="s">
        <v>259</v>
      </c>
      <c r="U56" t="str">
        <f t="shared" si="0"/>
        <v>46-55</v>
      </c>
      <c r="V56" t="str">
        <f t="shared" si="1"/>
        <v>June</v>
      </c>
      <c r="W56" t="str">
        <f t="shared" si="2"/>
        <v>Q2</v>
      </c>
      <c r="X56">
        <f t="shared" si="3"/>
        <v>2025</v>
      </c>
      <c r="Y56" t="str">
        <f t="shared" si="8"/>
        <v>Medium</v>
      </c>
      <c r="Z56" t="str">
        <f t="shared" si="4"/>
        <v>Discount Buyer</v>
      </c>
      <c r="AA56" t="str">
        <f t="shared" si="5"/>
        <v>VIP</v>
      </c>
      <c r="AB56" s="4">
        <f t="shared" ca="1" si="6"/>
        <v>273</v>
      </c>
      <c r="AC56" t="str">
        <f t="shared" ca="1" si="7"/>
        <v>Churn Risk</v>
      </c>
    </row>
    <row r="57" spans="1:29" x14ac:dyDescent="0.3">
      <c r="A57" t="s">
        <v>260</v>
      </c>
      <c r="B57" t="s">
        <v>120</v>
      </c>
      <c r="C57">
        <v>31</v>
      </c>
      <c r="D57" t="s">
        <v>38</v>
      </c>
      <c r="E57" t="s">
        <v>106</v>
      </c>
      <c r="F57" t="s">
        <v>40</v>
      </c>
      <c r="G57" t="s">
        <v>25</v>
      </c>
      <c r="H57" t="s">
        <v>55</v>
      </c>
      <c r="I57" t="s">
        <v>96</v>
      </c>
      <c r="J57" t="s">
        <v>261</v>
      </c>
      <c r="K57">
        <v>1</v>
      </c>
      <c r="L57">
        <v>510.26</v>
      </c>
      <c r="M57">
        <v>510.26</v>
      </c>
      <c r="N57" t="s">
        <v>29</v>
      </c>
      <c r="O57" t="s">
        <v>44</v>
      </c>
      <c r="P57" t="s">
        <v>31</v>
      </c>
      <c r="Q57" t="s">
        <v>32</v>
      </c>
      <c r="R57" t="s">
        <v>33</v>
      </c>
      <c r="S57" t="s">
        <v>83</v>
      </c>
      <c r="T57" t="s">
        <v>262</v>
      </c>
      <c r="U57" t="str">
        <f t="shared" si="0"/>
        <v>26-35</v>
      </c>
      <c r="V57" t="str">
        <f t="shared" si="1"/>
        <v>April</v>
      </c>
      <c r="W57" t="str">
        <f t="shared" si="2"/>
        <v>Q2</v>
      </c>
      <c r="X57">
        <f t="shared" si="3"/>
        <v>2026</v>
      </c>
      <c r="Y57" t="str">
        <f t="shared" si="8"/>
        <v>High</v>
      </c>
      <c r="Z57" t="str">
        <f t="shared" si="4"/>
        <v>Discount Buyer</v>
      </c>
      <c r="AA57" t="str">
        <f t="shared" si="5"/>
        <v>Regular</v>
      </c>
      <c r="AB57" s="4">
        <f t="shared" ca="1" si="6"/>
        <v>-21</v>
      </c>
      <c r="AC57" t="str">
        <f t="shared" ca="1" si="7"/>
        <v>Active</v>
      </c>
    </row>
    <row r="58" spans="1:29" x14ac:dyDescent="0.3">
      <c r="A58" t="s">
        <v>263</v>
      </c>
      <c r="B58" t="s">
        <v>21</v>
      </c>
      <c r="C58">
        <v>38</v>
      </c>
      <c r="D58" t="s">
        <v>22</v>
      </c>
      <c r="E58" t="s">
        <v>134</v>
      </c>
      <c r="F58" t="s">
        <v>135</v>
      </c>
      <c r="G58" t="s">
        <v>25</v>
      </c>
      <c r="H58" t="s">
        <v>129</v>
      </c>
      <c r="I58" t="s">
        <v>167</v>
      </c>
      <c r="J58" t="s">
        <v>264</v>
      </c>
      <c r="K58">
        <v>3</v>
      </c>
      <c r="L58">
        <v>2101.21</v>
      </c>
      <c r="M58">
        <v>6303.63</v>
      </c>
      <c r="N58" t="s">
        <v>67</v>
      </c>
      <c r="O58" t="s">
        <v>30</v>
      </c>
      <c r="P58" t="s">
        <v>31</v>
      </c>
      <c r="Q58" t="s">
        <v>32</v>
      </c>
      <c r="R58" t="s">
        <v>47</v>
      </c>
      <c r="S58" t="s">
        <v>48</v>
      </c>
      <c r="T58" t="s">
        <v>265</v>
      </c>
      <c r="U58" t="str">
        <f t="shared" si="0"/>
        <v>36-45</v>
      </c>
      <c r="V58" t="str">
        <f t="shared" si="1"/>
        <v>March</v>
      </c>
      <c r="W58" t="str">
        <f t="shared" si="2"/>
        <v>Q1</v>
      </c>
      <c r="X58">
        <f t="shared" si="3"/>
        <v>2026</v>
      </c>
      <c r="Y58" t="str">
        <f t="shared" si="8"/>
        <v>Low</v>
      </c>
      <c r="Z58" t="str">
        <f t="shared" si="4"/>
        <v>Regular Buyer</v>
      </c>
      <c r="AA58" t="str">
        <f t="shared" si="5"/>
        <v>Premium</v>
      </c>
      <c r="AB58" s="4">
        <f t="shared" ca="1" si="6"/>
        <v>-32</v>
      </c>
      <c r="AC58" t="str">
        <f t="shared" ca="1" si="7"/>
        <v>Active</v>
      </c>
    </row>
    <row r="59" spans="1:29" x14ac:dyDescent="0.3">
      <c r="A59" t="s">
        <v>266</v>
      </c>
      <c r="B59" t="s">
        <v>159</v>
      </c>
      <c r="C59">
        <v>39</v>
      </c>
      <c r="D59" t="s">
        <v>22</v>
      </c>
      <c r="E59" t="s">
        <v>52</v>
      </c>
      <c r="F59" t="s">
        <v>53</v>
      </c>
      <c r="G59" t="s">
        <v>91</v>
      </c>
      <c r="H59" t="s">
        <v>129</v>
      </c>
      <c r="I59" t="s">
        <v>148</v>
      </c>
      <c r="J59" t="s">
        <v>60</v>
      </c>
      <c r="K59">
        <v>4</v>
      </c>
      <c r="L59">
        <v>1889.79</v>
      </c>
      <c r="M59">
        <v>7559.16</v>
      </c>
      <c r="N59" t="s">
        <v>108</v>
      </c>
      <c r="O59" t="s">
        <v>30</v>
      </c>
      <c r="P59" t="s">
        <v>74</v>
      </c>
      <c r="Q59" t="s">
        <v>59</v>
      </c>
      <c r="R59" t="s">
        <v>47</v>
      </c>
      <c r="S59" t="s">
        <v>142</v>
      </c>
      <c r="T59" t="s">
        <v>267</v>
      </c>
      <c r="U59" t="str">
        <f t="shared" si="0"/>
        <v>36-45</v>
      </c>
      <c r="V59" t="str">
        <f t="shared" si="1"/>
        <v>June</v>
      </c>
      <c r="W59" t="str">
        <f t="shared" si="2"/>
        <v>Q2</v>
      </c>
      <c r="X59">
        <f t="shared" si="3"/>
        <v>2025</v>
      </c>
      <c r="Y59" t="str">
        <f t="shared" si="8"/>
        <v>High</v>
      </c>
      <c r="Z59" t="str">
        <f t="shared" si="4"/>
        <v>Regular Buyer</v>
      </c>
      <c r="AA59" t="str">
        <f t="shared" si="5"/>
        <v>Premium</v>
      </c>
      <c r="AB59" s="4">
        <f t="shared" ca="1" si="6"/>
        <v>300</v>
      </c>
      <c r="AC59" t="str">
        <f t="shared" ca="1" si="7"/>
        <v>Churn Risk</v>
      </c>
    </row>
    <row r="60" spans="1:29" x14ac:dyDescent="0.3">
      <c r="A60" t="s">
        <v>268</v>
      </c>
      <c r="B60" t="s">
        <v>95</v>
      </c>
      <c r="C60">
        <v>31</v>
      </c>
      <c r="D60" t="s">
        <v>38</v>
      </c>
      <c r="E60" t="s">
        <v>62</v>
      </c>
      <c r="F60" t="s">
        <v>53</v>
      </c>
      <c r="G60" t="s">
        <v>91</v>
      </c>
      <c r="H60" t="s">
        <v>115</v>
      </c>
      <c r="I60" t="s">
        <v>116</v>
      </c>
      <c r="J60" t="s">
        <v>269</v>
      </c>
      <c r="K60">
        <v>3</v>
      </c>
      <c r="L60">
        <v>382.57</v>
      </c>
      <c r="M60">
        <v>1147.71</v>
      </c>
      <c r="N60" t="s">
        <v>29</v>
      </c>
      <c r="O60" t="s">
        <v>30</v>
      </c>
      <c r="P60" t="s">
        <v>68</v>
      </c>
      <c r="Q60" t="s">
        <v>99</v>
      </c>
      <c r="R60" t="s">
        <v>33</v>
      </c>
      <c r="S60" t="s">
        <v>83</v>
      </c>
      <c r="T60" t="s">
        <v>270</v>
      </c>
      <c r="U60" t="str">
        <f t="shared" si="0"/>
        <v>26-35</v>
      </c>
      <c r="V60" t="str">
        <f t="shared" si="1"/>
        <v>February</v>
      </c>
      <c r="W60" t="str">
        <f t="shared" si="2"/>
        <v>Q1</v>
      </c>
      <c r="X60">
        <f t="shared" si="3"/>
        <v>2025</v>
      </c>
      <c r="Y60" t="str">
        <f t="shared" si="8"/>
        <v>High</v>
      </c>
      <c r="Z60" t="str">
        <f t="shared" si="4"/>
        <v>Discount Buyer</v>
      </c>
      <c r="AA60" t="str">
        <f t="shared" si="5"/>
        <v>Regular</v>
      </c>
      <c r="AB60" s="4">
        <f t="shared" ca="1" si="6"/>
        <v>418</v>
      </c>
      <c r="AC60" t="str">
        <f t="shared" ca="1" si="7"/>
        <v>Churn Risk</v>
      </c>
    </row>
    <row r="61" spans="1:29" x14ac:dyDescent="0.3">
      <c r="A61" t="s">
        <v>271</v>
      </c>
      <c r="B61" t="s">
        <v>71</v>
      </c>
      <c r="C61">
        <v>45</v>
      </c>
      <c r="D61" t="s">
        <v>22</v>
      </c>
      <c r="E61" t="s">
        <v>134</v>
      </c>
      <c r="F61" t="s">
        <v>135</v>
      </c>
      <c r="G61" t="s">
        <v>152</v>
      </c>
      <c r="H61" t="s">
        <v>41</v>
      </c>
      <c r="I61" t="s">
        <v>272</v>
      </c>
      <c r="J61" t="s">
        <v>273</v>
      </c>
      <c r="K61">
        <v>7</v>
      </c>
      <c r="L61">
        <v>2297.83</v>
      </c>
      <c r="M61">
        <v>16084.81</v>
      </c>
      <c r="N61" t="s">
        <v>29</v>
      </c>
      <c r="O61" t="s">
        <v>30</v>
      </c>
      <c r="P61" t="s">
        <v>74</v>
      </c>
      <c r="Q61" t="s">
        <v>99</v>
      </c>
      <c r="R61" t="s">
        <v>33</v>
      </c>
      <c r="S61" t="s">
        <v>48</v>
      </c>
      <c r="T61" t="s">
        <v>274</v>
      </c>
      <c r="U61" t="str">
        <f t="shared" si="0"/>
        <v>36-45</v>
      </c>
      <c r="V61" t="str">
        <f t="shared" si="1"/>
        <v>March</v>
      </c>
      <c r="W61" t="str">
        <f t="shared" si="2"/>
        <v>Q1</v>
      </c>
      <c r="X61">
        <f t="shared" si="3"/>
        <v>2025</v>
      </c>
      <c r="Y61" t="str">
        <f t="shared" si="8"/>
        <v>Medium</v>
      </c>
      <c r="Z61" t="str">
        <f t="shared" si="4"/>
        <v>Discount Buyer</v>
      </c>
      <c r="AA61" t="str">
        <f t="shared" si="5"/>
        <v>VIP</v>
      </c>
      <c r="AB61" s="4">
        <f t="shared" ca="1" si="6"/>
        <v>370</v>
      </c>
      <c r="AC61" t="str">
        <f t="shared" ca="1" si="7"/>
        <v>Churn Risk</v>
      </c>
    </row>
    <row r="62" spans="1:29" x14ac:dyDescent="0.3">
      <c r="A62" t="s">
        <v>275</v>
      </c>
      <c r="B62" t="s">
        <v>95</v>
      </c>
      <c r="C62">
        <v>41</v>
      </c>
      <c r="D62" t="s">
        <v>38</v>
      </c>
      <c r="E62" t="s">
        <v>52</v>
      </c>
      <c r="F62" t="s">
        <v>53</v>
      </c>
      <c r="G62" t="s">
        <v>25</v>
      </c>
      <c r="H62" t="s">
        <v>129</v>
      </c>
      <c r="I62" t="s">
        <v>130</v>
      </c>
      <c r="J62" t="s">
        <v>276</v>
      </c>
      <c r="K62">
        <v>2</v>
      </c>
      <c r="L62">
        <v>920.43</v>
      </c>
      <c r="M62">
        <v>1840.86</v>
      </c>
      <c r="N62" t="s">
        <v>67</v>
      </c>
      <c r="O62" t="s">
        <v>44</v>
      </c>
      <c r="P62" t="s">
        <v>68</v>
      </c>
      <c r="Q62" t="s">
        <v>46</v>
      </c>
      <c r="R62" t="s">
        <v>47</v>
      </c>
      <c r="S62" t="s">
        <v>34</v>
      </c>
      <c r="T62" t="s">
        <v>277</v>
      </c>
      <c r="U62" t="str">
        <f t="shared" si="0"/>
        <v>36-45</v>
      </c>
      <c r="V62" t="str">
        <f t="shared" si="1"/>
        <v>May</v>
      </c>
      <c r="W62" t="str">
        <f t="shared" si="2"/>
        <v>Q2</v>
      </c>
      <c r="X62">
        <f t="shared" si="3"/>
        <v>2025</v>
      </c>
      <c r="Y62" t="str">
        <f t="shared" si="8"/>
        <v>High</v>
      </c>
      <c r="Z62" t="str">
        <f t="shared" si="4"/>
        <v>Regular Buyer</v>
      </c>
      <c r="AA62" t="str">
        <f t="shared" si="5"/>
        <v>Regular</v>
      </c>
      <c r="AB62" s="4">
        <f t="shared" ca="1" si="6"/>
        <v>318</v>
      </c>
      <c r="AC62" t="str">
        <f t="shared" ca="1" si="7"/>
        <v>Churn Risk</v>
      </c>
    </row>
    <row r="63" spans="1:29" x14ac:dyDescent="0.3">
      <c r="A63" t="s">
        <v>278</v>
      </c>
      <c r="B63" t="s">
        <v>95</v>
      </c>
      <c r="C63">
        <v>54</v>
      </c>
      <c r="D63" t="s">
        <v>22</v>
      </c>
      <c r="E63" t="s">
        <v>62</v>
      </c>
      <c r="F63" t="s">
        <v>53</v>
      </c>
      <c r="G63" t="s">
        <v>80</v>
      </c>
      <c r="H63" t="s">
        <v>41</v>
      </c>
      <c r="I63" t="s">
        <v>81</v>
      </c>
      <c r="J63" t="s">
        <v>279</v>
      </c>
      <c r="K63">
        <v>5</v>
      </c>
      <c r="L63">
        <v>1939.97</v>
      </c>
      <c r="M63">
        <v>9699.85</v>
      </c>
      <c r="N63" t="s">
        <v>108</v>
      </c>
      <c r="O63" t="s">
        <v>30</v>
      </c>
      <c r="P63" t="s">
        <v>45</v>
      </c>
      <c r="Q63" t="s">
        <v>46</v>
      </c>
      <c r="R63" t="s">
        <v>47</v>
      </c>
      <c r="S63" t="s">
        <v>34</v>
      </c>
      <c r="T63" t="s">
        <v>280</v>
      </c>
      <c r="U63" t="str">
        <f t="shared" si="0"/>
        <v>46-55</v>
      </c>
      <c r="V63" t="str">
        <f t="shared" si="1"/>
        <v>March</v>
      </c>
      <c r="W63" t="str">
        <f t="shared" si="2"/>
        <v>Q1</v>
      </c>
      <c r="X63">
        <f t="shared" si="3"/>
        <v>2025</v>
      </c>
      <c r="Y63" t="str">
        <f t="shared" si="8"/>
        <v>Medium</v>
      </c>
      <c r="Z63" t="str">
        <f t="shared" si="4"/>
        <v>Regular Buyer</v>
      </c>
      <c r="AA63" t="str">
        <f t="shared" si="5"/>
        <v>Premium</v>
      </c>
      <c r="AB63" s="4">
        <f t="shared" ca="1" si="6"/>
        <v>359</v>
      </c>
      <c r="AC63" t="str">
        <f t="shared" ca="1" si="7"/>
        <v>Churn Risk</v>
      </c>
    </row>
    <row r="64" spans="1:29" x14ac:dyDescent="0.3">
      <c r="A64" t="s">
        <v>281</v>
      </c>
      <c r="B64" t="s">
        <v>77</v>
      </c>
      <c r="C64">
        <v>24</v>
      </c>
      <c r="D64" t="s">
        <v>38</v>
      </c>
      <c r="E64" t="s">
        <v>121</v>
      </c>
      <c r="F64" t="s">
        <v>24</v>
      </c>
      <c r="G64" t="s">
        <v>152</v>
      </c>
      <c r="H64" t="s">
        <v>115</v>
      </c>
      <c r="I64" t="s">
        <v>176</v>
      </c>
      <c r="J64" t="s">
        <v>282</v>
      </c>
      <c r="K64">
        <v>4</v>
      </c>
      <c r="L64">
        <v>1047.83</v>
      </c>
      <c r="M64">
        <v>4191.32</v>
      </c>
      <c r="N64" t="s">
        <v>29</v>
      </c>
      <c r="O64" t="s">
        <v>30</v>
      </c>
      <c r="P64" t="s">
        <v>31</v>
      </c>
      <c r="Q64" t="s">
        <v>32</v>
      </c>
      <c r="R64" t="s">
        <v>47</v>
      </c>
      <c r="S64" t="s">
        <v>48</v>
      </c>
      <c r="T64" t="s">
        <v>283</v>
      </c>
      <c r="U64" t="str">
        <f t="shared" si="0"/>
        <v>18-25</v>
      </c>
      <c r="V64" t="str">
        <f t="shared" si="1"/>
        <v>August</v>
      </c>
      <c r="W64" t="str">
        <f t="shared" si="2"/>
        <v>Q3</v>
      </c>
      <c r="X64">
        <f t="shared" si="3"/>
        <v>2025</v>
      </c>
      <c r="Y64" t="str">
        <f t="shared" si="8"/>
        <v>High</v>
      </c>
      <c r="Z64" t="str">
        <f t="shared" si="4"/>
        <v>Regular Buyer</v>
      </c>
      <c r="AA64" t="str">
        <f t="shared" si="5"/>
        <v>Regular</v>
      </c>
      <c r="AB64" s="4">
        <f t="shared" ca="1" si="6"/>
        <v>246</v>
      </c>
      <c r="AC64" t="str">
        <f t="shared" ca="1" si="7"/>
        <v>Churn Risk</v>
      </c>
    </row>
    <row r="65" spans="1:29" x14ac:dyDescent="0.3">
      <c r="A65" t="s">
        <v>284</v>
      </c>
      <c r="B65" t="s">
        <v>77</v>
      </c>
      <c r="C65">
        <v>35</v>
      </c>
      <c r="D65" t="s">
        <v>38</v>
      </c>
      <c r="E65" t="s">
        <v>87</v>
      </c>
      <c r="F65" t="s">
        <v>79</v>
      </c>
      <c r="G65" t="s">
        <v>91</v>
      </c>
      <c r="H65" t="s">
        <v>55</v>
      </c>
      <c r="I65" t="s">
        <v>56</v>
      </c>
      <c r="J65" t="s">
        <v>285</v>
      </c>
      <c r="K65">
        <v>6</v>
      </c>
      <c r="L65">
        <v>648</v>
      </c>
      <c r="M65">
        <v>3888</v>
      </c>
      <c r="N65" t="s">
        <v>67</v>
      </c>
      <c r="O65" t="s">
        <v>44</v>
      </c>
      <c r="P65" t="s">
        <v>31</v>
      </c>
      <c r="Q65" t="s">
        <v>46</v>
      </c>
      <c r="R65" t="s">
        <v>33</v>
      </c>
      <c r="S65" t="s">
        <v>83</v>
      </c>
      <c r="T65" t="s">
        <v>100</v>
      </c>
      <c r="U65" t="str">
        <f t="shared" si="0"/>
        <v>26-35</v>
      </c>
      <c r="V65" t="str">
        <f t="shared" si="1"/>
        <v>August</v>
      </c>
      <c r="W65" t="str">
        <f t="shared" si="2"/>
        <v>Q3</v>
      </c>
      <c r="X65">
        <f t="shared" si="3"/>
        <v>2025</v>
      </c>
      <c r="Y65" t="str">
        <f t="shared" si="8"/>
        <v>Medium</v>
      </c>
      <c r="Z65" t="str">
        <f t="shared" si="4"/>
        <v>Discount Buyer</v>
      </c>
      <c r="AA65" t="str">
        <f t="shared" si="5"/>
        <v>Regular</v>
      </c>
      <c r="AB65" s="4">
        <f t="shared" ca="1" si="6"/>
        <v>182</v>
      </c>
      <c r="AC65" t="str">
        <f t="shared" ca="1" si="7"/>
        <v>Churn Risk</v>
      </c>
    </row>
    <row r="66" spans="1:29" x14ac:dyDescent="0.3">
      <c r="A66" t="s">
        <v>286</v>
      </c>
      <c r="B66" t="s">
        <v>159</v>
      </c>
      <c r="C66">
        <v>38</v>
      </c>
      <c r="D66" t="s">
        <v>38</v>
      </c>
      <c r="E66" t="s">
        <v>163</v>
      </c>
      <c r="F66" t="s">
        <v>135</v>
      </c>
      <c r="G66" t="s">
        <v>54</v>
      </c>
      <c r="H66" t="s">
        <v>129</v>
      </c>
      <c r="I66" t="s">
        <v>148</v>
      </c>
      <c r="J66" t="s">
        <v>287</v>
      </c>
      <c r="K66">
        <v>7</v>
      </c>
      <c r="L66">
        <v>1394.17</v>
      </c>
      <c r="M66">
        <v>9759.19</v>
      </c>
      <c r="N66" t="s">
        <v>58</v>
      </c>
      <c r="O66" t="s">
        <v>30</v>
      </c>
      <c r="P66" t="s">
        <v>74</v>
      </c>
      <c r="Q66" t="s">
        <v>32</v>
      </c>
      <c r="R66" t="s">
        <v>33</v>
      </c>
      <c r="S66" t="s">
        <v>34</v>
      </c>
      <c r="T66" t="s">
        <v>288</v>
      </c>
      <c r="U66" t="str">
        <f t="shared" si="0"/>
        <v>36-45</v>
      </c>
      <c r="V66" t="str">
        <f t="shared" si="1"/>
        <v>January</v>
      </c>
      <c r="W66" t="str">
        <f t="shared" si="2"/>
        <v>Q1</v>
      </c>
      <c r="X66">
        <f t="shared" si="3"/>
        <v>2025</v>
      </c>
      <c r="Y66" t="str">
        <f t="shared" si="8"/>
        <v>Medium</v>
      </c>
      <c r="Z66" t="str">
        <f t="shared" si="4"/>
        <v>Discount Buyer</v>
      </c>
      <c r="AA66" t="str">
        <f t="shared" si="5"/>
        <v>Premium</v>
      </c>
      <c r="AB66" s="4">
        <f t="shared" ca="1" si="6"/>
        <v>471</v>
      </c>
      <c r="AC66" t="str">
        <f t="shared" ca="1" si="7"/>
        <v>Churn Risk</v>
      </c>
    </row>
    <row r="67" spans="1:29" x14ac:dyDescent="0.3">
      <c r="A67" t="s">
        <v>289</v>
      </c>
      <c r="B67" t="s">
        <v>159</v>
      </c>
      <c r="C67">
        <v>54</v>
      </c>
      <c r="D67" t="s">
        <v>22</v>
      </c>
      <c r="E67" t="s">
        <v>23</v>
      </c>
      <c r="F67" t="s">
        <v>24</v>
      </c>
      <c r="G67" t="s">
        <v>91</v>
      </c>
      <c r="H67" t="s">
        <v>41</v>
      </c>
      <c r="I67" t="s">
        <v>81</v>
      </c>
      <c r="J67" t="s">
        <v>290</v>
      </c>
      <c r="K67">
        <v>2</v>
      </c>
      <c r="L67">
        <v>2513.21</v>
      </c>
      <c r="M67">
        <v>5026.42</v>
      </c>
      <c r="N67" t="s">
        <v>98</v>
      </c>
      <c r="O67" t="s">
        <v>30</v>
      </c>
      <c r="P67" t="s">
        <v>68</v>
      </c>
      <c r="Q67" t="s">
        <v>99</v>
      </c>
      <c r="R67" t="s">
        <v>33</v>
      </c>
      <c r="S67" t="s">
        <v>34</v>
      </c>
      <c r="T67" t="s">
        <v>291</v>
      </c>
      <c r="U67" t="str">
        <f t="shared" ref="U67:U130" si="9">IF(C67&lt;=25,"18-25",
IF(C67&lt;=35,"26-35",
IF(C67&lt;=45,"36-45",
IF(C67&lt;=55,"46-55","55+"))))</f>
        <v>46-55</v>
      </c>
      <c r="V67" t="str">
        <f t="shared" ref="V67:V130" si="10">TEXT(J67,"MMMM")</f>
        <v>November</v>
      </c>
      <c r="W67" t="str">
        <f t="shared" ref="W67:W130" si="11">"Q"&amp;ROUNDUP(MONTH(J67)/3,0)</f>
        <v>Q4</v>
      </c>
      <c r="X67">
        <f t="shared" ref="X67:X130" si="12">YEAR(J67)</f>
        <v>2025</v>
      </c>
      <c r="Y67" t="str">
        <f t="shared" si="8"/>
        <v>High</v>
      </c>
      <c r="Z67" t="str">
        <f t="shared" ref="Z67:Z130" si="13">IF(R67="Yes","Discount Buyer","Regular Buyer")</f>
        <v>Discount Buyer</v>
      </c>
      <c r="AA67" t="str">
        <f t="shared" ref="AA67:AA130" si="14">IF(M67&gt;=10000,"VIP",
IF(M67&gt;=5000,"Premium","Regular"))</f>
        <v>Premium</v>
      </c>
      <c r="AB67" s="4">
        <f t="shared" ref="AB67:AB130" ca="1" si="15">TODAY()-DATEVALUE(T67)</f>
        <v>80</v>
      </c>
      <c r="AC67" t="str">
        <f t="shared" ref="AC67:AC130" ca="1" si="16">IF(AB67&lt;=30,"Active",IF(AB67&lt;=180,"At Risk","Churn Risk"))</f>
        <v>At Risk</v>
      </c>
    </row>
    <row r="68" spans="1:29" x14ac:dyDescent="0.3">
      <c r="A68" t="s">
        <v>292</v>
      </c>
      <c r="B68" t="s">
        <v>111</v>
      </c>
      <c r="C68">
        <v>44</v>
      </c>
      <c r="D68" t="s">
        <v>22</v>
      </c>
      <c r="E68" t="s">
        <v>39</v>
      </c>
      <c r="F68" t="s">
        <v>40</v>
      </c>
      <c r="G68" t="s">
        <v>63</v>
      </c>
      <c r="H68" t="s">
        <v>55</v>
      </c>
      <c r="I68" t="s">
        <v>56</v>
      </c>
      <c r="J68" t="s">
        <v>293</v>
      </c>
      <c r="K68">
        <v>4</v>
      </c>
      <c r="L68">
        <v>1766.26</v>
      </c>
      <c r="M68">
        <v>7065.04</v>
      </c>
      <c r="N68" t="s">
        <v>58</v>
      </c>
      <c r="O68" t="s">
        <v>30</v>
      </c>
      <c r="P68" t="s">
        <v>68</v>
      </c>
      <c r="Q68" t="s">
        <v>32</v>
      </c>
      <c r="R68" t="s">
        <v>33</v>
      </c>
      <c r="S68" t="s">
        <v>34</v>
      </c>
      <c r="T68" t="s">
        <v>216</v>
      </c>
      <c r="U68" t="str">
        <f t="shared" si="9"/>
        <v>36-45</v>
      </c>
      <c r="V68" t="str">
        <f t="shared" si="10"/>
        <v>December</v>
      </c>
      <c r="W68" t="str">
        <f t="shared" si="11"/>
        <v>Q4</v>
      </c>
      <c r="X68">
        <f t="shared" si="12"/>
        <v>2025</v>
      </c>
      <c r="Y68" t="str">
        <f t="shared" ref="Y68:Y131" si="17">IF(M67&lt;1000,"Low",
IF(M67&lt;5000,"Medium","High"))</f>
        <v>High</v>
      </c>
      <c r="Z68" t="str">
        <f t="shared" si="13"/>
        <v>Discount Buyer</v>
      </c>
      <c r="AA68" t="str">
        <f t="shared" si="14"/>
        <v>Premium</v>
      </c>
      <c r="AB68" s="4">
        <f t="shared" ca="1" si="15"/>
        <v>143</v>
      </c>
      <c r="AC68" t="str">
        <f t="shared" ca="1" si="16"/>
        <v>At Risk</v>
      </c>
    </row>
    <row r="69" spans="1:29" x14ac:dyDescent="0.3">
      <c r="A69" t="s">
        <v>294</v>
      </c>
      <c r="B69" t="s">
        <v>21</v>
      </c>
      <c r="C69">
        <v>51</v>
      </c>
      <c r="D69" t="s">
        <v>22</v>
      </c>
      <c r="E69" t="s">
        <v>163</v>
      </c>
      <c r="F69" t="s">
        <v>135</v>
      </c>
      <c r="G69" t="s">
        <v>63</v>
      </c>
      <c r="H69" t="s">
        <v>55</v>
      </c>
      <c r="I69" t="s">
        <v>56</v>
      </c>
      <c r="J69" t="s">
        <v>295</v>
      </c>
      <c r="K69">
        <v>7</v>
      </c>
      <c r="L69">
        <v>360.85</v>
      </c>
      <c r="M69">
        <v>2525.9499999999998</v>
      </c>
      <c r="N69" t="s">
        <v>108</v>
      </c>
      <c r="O69" t="s">
        <v>44</v>
      </c>
      <c r="P69" t="s">
        <v>31</v>
      </c>
      <c r="Q69" t="s">
        <v>59</v>
      </c>
      <c r="R69" t="s">
        <v>33</v>
      </c>
      <c r="S69" t="s">
        <v>83</v>
      </c>
      <c r="T69" t="s">
        <v>296</v>
      </c>
      <c r="U69" t="str">
        <f t="shared" si="9"/>
        <v>46-55</v>
      </c>
      <c r="V69" t="str">
        <f t="shared" si="10"/>
        <v>July</v>
      </c>
      <c r="W69" t="str">
        <f t="shared" si="11"/>
        <v>Q3</v>
      </c>
      <c r="X69">
        <f t="shared" si="12"/>
        <v>2025</v>
      </c>
      <c r="Y69" t="str">
        <f t="shared" si="17"/>
        <v>High</v>
      </c>
      <c r="Z69" t="str">
        <f t="shared" si="13"/>
        <v>Discount Buyer</v>
      </c>
      <c r="AA69" t="str">
        <f t="shared" si="14"/>
        <v>Regular</v>
      </c>
      <c r="AB69" s="4">
        <f t="shared" ca="1" si="15"/>
        <v>265</v>
      </c>
      <c r="AC69" t="str">
        <f t="shared" ca="1" si="16"/>
        <v>Churn Risk</v>
      </c>
    </row>
    <row r="70" spans="1:29" x14ac:dyDescent="0.3">
      <c r="A70" t="s">
        <v>297</v>
      </c>
      <c r="B70" t="s">
        <v>159</v>
      </c>
      <c r="C70">
        <v>39</v>
      </c>
      <c r="D70" t="s">
        <v>22</v>
      </c>
      <c r="E70" t="s">
        <v>134</v>
      </c>
      <c r="F70" t="s">
        <v>135</v>
      </c>
      <c r="G70" t="s">
        <v>152</v>
      </c>
      <c r="H70" t="s">
        <v>64</v>
      </c>
      <c r="I70" t="s">
        <v>189</v>
      </c>
      <c r="J70" t="s">
        <v>298</v>
      </c>
      <c r="K70">
        <v>3</v>
      </c>
      <c r="L70">
        <v>1286.8800000000001</v>
      </c>
      <c r="M70">
        <v>3860.64</v>
      </c>
      <c r="N70" t="s">
        <v>58</v>
      </c>
      <c r="O70" t="s">
        <v>44</v>
      </c>
      <c r="P70" t="s">
        <v>74</v>
      </c>
      <c r="Q70" t="s">
        <v>32</v>
      </c>
      <c r="R70" t="s">
        <v>33</v>
      </c>
      <c r="S70" t="s">
        <v>142</v>
      </c>
      <c r="T70" t="s">
        <v>299</v>
      </c>
      <c r="U70" t="str">
        <f t="shared" si="9"/>
        <v>36-45</v>
      </c>
      <c r="V70" t="str">
        <f t="shared" si="10"/>
        <v>April</v>
      </c>
      <c r="W70" t="str">
        <f t="shared" si="11"/>
        <v>Q2</v>
      </c>
      <c r="X70">
        <f t="shared" si="12"/>
        <v>2025</v>
      </c>
      <c r="Y70" t="str">
        <f t="shared" si="17"/>
        <v>Medium</v>
      </c>
      <c r="Z70" t="str">
        <f t="shared" si="13"/>
        <v>Discount Buyer</v>
      </c>
      <c r="AA70" t="str">
        <f t="shared" si="14"/>
        <v>Regular</v>
      </c>
      <c r="AB70" s="4">
        <f t="shared" ca="1" si="15"/>
        <v>349</v>
      </c>
      <c r="AC70" t="str">
        <f t="shared" ca="1" si="16"/>
        <v>Churn Risk</v>
      </c>
    </row>
    <row r="71" spans="1:29" x14ac:dyDescent="0.3">
      <c r="A71" t="s">
        <v>300</v>
      </c>
      <c r="B71" t="s">
        <v>120</v>
      </c>
      <c r="C71">
        <v>24</v>
      </c>
      <c r="D71" t="s">
        <v>22</v>
      </c>
      <c r="E71" t="s">
        <v>62</v>
      </c>
      <c r="F71" t="s">
        <v>53</v>
      </c>
      <c r="G71" t="s">
        <v>80</v>
      </c>
      <c r="H71" t="s">
        <v>41</v>
      </c>
      <c r="I71" t="s">
        <v>272</v>
      </c>
      <c r="J71" t="s">
        <v>301</v>
      </c>
      <c r="K71">
        <v>2</v>
      </c>
      <c r="L71">
        <v>3021.14</v>
      </c>
      <c r="M71">
        <v>6042.28</v>
      </c>
      <c r="N71" t="s">
        <v>108</v>
      </c>
      <c r="O71" t="s">
        <v>30</v>
      </c>
      <c r="P71" t="s">
        <v>45</v>
      </c>
      <c r="Q71" t="s">
        <v>59</v>
      </c>
      <c r="R71" t="s">
        <v>47</v>
      </c>
      <c r="S71" t="s">
        <v>34</v>
      </c>
      <c r="T71" t="s">
        <v>145</v>
      </c>
      <c r="U71" t="str">
        <f t="shared" si="9"/>
        <v>18-25</v>
      </c>
      <c r="V71" t="str">
        <f t="shared" si="10"/>
        <v>July</v>
      </c>
      <c r="W71" t="str">
        <f t="shared" si="11"/>
        <v>Q3</v>
      </c>
      <c r="X71">
        <f t="shared" si="12"/>
        <v>2025</v>
      </c>
      <c r="Y71" t="str">
        <f t="shared" si="17"/>
        <v>Medium</v>
      </c>
      <c r="Z71" t="str">
        <f t="shared" si="13"/>
        <v>Regular Buyer</v>
      </c>
      <c r="AA71" t="str">
        <f t="shared" si="14"/>
        <v>Premium</v>
      </c>
      <c r="AB71" s="4">
        <f t="shared" ca="1" si="15"/>
        <v>297</v>
      </c>
      <c r="AC71" t="str">
        <f t="shared" ca="1" si="16"/>
        <v>Churn Risk</v>
      </c>
    </row>
    <row r="72" spans="1:29" x14ac:dyDescent="0.3">
      <c r="A72" t="s">
        <v>302</v>
      </c>
      <c r="B72" t="s">
        <v>71</v>
      </c>
      <c r="C72">
        <v>52</v>
      </c>
      <c r="D72" t="s">
        <v>38</v>
      </c>
      <c r="E72" t="s">
        <v>52</v>
      </c>
      <c r="F72" t="s">
        <v>53</v>
      </c>
      <c r="G72" t="s">
        <v>72</v>
      </c>
      <c r="H72" t="s">
        <v>129</v>
      </c>
      <c r="I72" t="s">
        <v>148</v>
      </c>
      <c r="J72" t="s">
        <v>303</v>
      </c>
      <c r="K72">
        <v>4</v>
      </c>
      <c r="L72">
        <v>1730.92</v>
      </c>
      <c r="M72">
        <v>6923.68</v>
      </c>
      <c r="N72" t="s">
        <v>67</v>
      </c>
      <c r="O72" t="s">
        <v>44</v>
      </c>
      <c r="P72" t="s">
        <v>45</v>
      </c>
      <c r="Q72" t="s">
        <v>59</v>
      </c>
      <c r="R72" t="s">
        <v>33</v>
      </c>
      <c r="S72" t="s">
        <v>48</v>
      </c>
      <c r="T72" t="s">
        <v>304</v>
      </c>
      <c r="U72" t="str">
        <f t="shared" si="9"/>
        <v>46-55</v>
      </c>
      <c r="V72" t="str">
        <f t="shared" si="10"/>
        <v>May</v>
      </c>
      <c r="W72" t="str">
        <f t="shared" si="11"/>
        <v>Q2</v>
      </c>
      <c r="X72">
        <f t="shared" si="12"/>
        <v>2026</v>
      </c>
      <c r="Y72" t="str">
        <f t="shared" si="17"/>
        <v>High</v>
      </c>
      <c r="Z72" t="str">
        <f t="shared" si="13"/>
        <v>Discount Buyer</v>
      </c>
      <c r="AA72" t="str">
        <f t="shared" si="14"/>
        <v>Premium</v>
      </c>
      <c r="AB72" s="4">
        <f t="shared" ca="1" si="15"/>
        <v>12</v>
      </c>
      <c r="AC72" t="str">
        <f t="shared" ca="1" si="16"/>
        <v>Active</v>
      </c>
    </row>
    <row r="73" spans="1:29" x14ac:dyDescent="0.3">
      <c r="A73" t="s">
        <v>305</v>
      </c>
      <c r="B73" t="s">
        <v>51</v>
      </c>
      <c r="C73">
        <v>22</v>
      </c>
      <c r="D73" t="s">
        <v>38</v>
      </c>
      <c r="E73" t="s">
        <v>106</v>
      </c>
      <c r="F73" t="s">
        <v>40</v>
      </c>
      <c r="G73" t="s">
        <v>63</v>
      </c>
      <c r="H73" t="s">
        <v>129</v>
      </c>
      <c r="I73" t="s">
        <v>167</v>
      </c>
      <c r="J73" t="s">
        <v>306</v>
      </c>
      <c r="K73">
        <v>3</v>
      </c>
      <c r="L73">
        <v>3165.94</v>
      </c>
      <c r="M73">
        <v>9497.82</v>
      </c>
      <c r="N73" t="s">
        <v>29</v>
      </c>
      <c r="O73" t="s">
        <v>30</v>
      </c>
      <c r="P73" t="s">
        <v>45</v>
      </c>
      <c r="Q73" t="s">
        <v>99</v>
      </c>
      <c r="R73" t="s">
        <v>47</v>
      </c>
      <c r="S73" t="s">
        <v>48</v>
      </c>
      <c r="T73" t="s">
        <v>307</v>
      </c>
      <c r="U73" t="str">
        <f t="shared" si="9"/>
        <v>18-25</v>
      </c>
      <c r="V73" t="str">
        <f t="shared" si="10"/>
        <v>February</v>
      </c>
      <c r="W73" t="str">
        <f t="shared" si="11"/>
        <v>Q1</v>
      </c>
      <c r="X73">
        <f t="shared" si="12"/>
        <v>2026</v>
      </c>
      <c r="Y73" t="str">
        <f t="shared" si="17"/>
        <v>High</v>
      </c>
      <c r="Z73" t="str">
        <f t="shared" si="13"/>
        <v>Regular Buyer</v>
      </c>
      <c r="AA73" t="str">
        <f t="shared" si="14"/>
        <v>Premium</v>
      </c>
      <c r="AB73" s="4">
        <f t="shared" ca="1" si="15"/>
        <v>25</v>
      </c>
      <c r="AC73" t="str">
        <f t="shared" ca="1" si="16"/>
        <v>Active</v>
      </c>
    </row>
    <row r="74" spans="1:29" x14ac:dyDescent="0.3">
      <c r="A74" t="s">
        <v>308</v>
      </c>
      <c r="B74" t="s">
        <v>21</v>
      </c>
      <c r="C74">
        <v>46</v>
      </c>
      <c r="D74" t="s">
        <v>38</v>
      </c>
      <c r="E74" t="s">
        <v>62</v>
      </c>
      <c r="F74" t="s">
        <v>53</v>
      </c>
      <c r="G74" t="s">
        <v>63</v>
      </c>
      <c r="H74" t="s">
        <v>26</v>
      </c>
      <c r="I74" t="s">
        <v>140</v>
      </c>
      <c r="J74" t="s">
        <v>89</v>
      </c>
      <c r="K74">
        <v>7</v>
      </c>
      <c r="L74">
        <v>1285.3900000000001</v>
      </c>
      <c r="M74">
        <v>8997.73</v>
      </c>
      <c r="N74" t="s">
        <v>67</v>
      </c>
      <c r="O74" t="s">
        <v>30</v>
      </c>
      <c r="P74" t="s">
        <v>45</v>
      </c>
      <c r="Q74" t="s">
        <v>32</v>
      </c>
      <c r="R74" t="s">
        <v>47</v>
      </c>
      <c r="S74" t="s">
        <v>83</v>
      </c>
      <c r="T74" t="s">
        <v>171</v>
      </c>
      <c r="U74" t="str">
        <f t="shared" si="9"/>
        <v>46-55</v>
      </c>
      <c r="V74" t="str">
        <f t="shared" si="10"/>
        <v>December</v>
      </c>
      <c r="W74" t="str">
        <f t="shared" si="11"/>
        <v>Q4</v>
      </c>
      <c r="X74">
        <f t="shared" si="12"/>
        <v>2025</v>
      </c>
      <c r="Y74" t="str">
        <f t="shared" si="17"/>
        <v>High</v>
      </c>
      <c r="Z74" t="str">
        <f t="shared" si="13"/>
        <v>Regular Buyer</v>
      </c>
      <c r="AA74" t="str">
        <f t="shared" si="14"/>
        <v>Premium</v>
      </c>
      <c r="AB74" s="4">
        <f t="shared" ca="1" si="15"/>
        <v>91</v>
      </c>
      <c r="AC74" t="str">
        <f t="shared" ca="1" si="16"/>
        <v>At Risk</v>
      </c>
    </row>
    <row r="75" spans="1:29" x14ac:dyDescent="0.3">
      <c r="A75" t="s">
        <v>309</v>
      </c>
      <c r="B75" t="s">
        <v>86</v>
      </c>
      <c r="C75">
        <v>56</v>
      </c>
      <c r="D75" t="s">
        <v>22</v>
      </c>
      <c r="E75" t="s">
        <v>78</v>
      </c>
      <c r="F75" t="s">
        <v>79</v>
      </c>
      <c r="G75" t="s">
        <v>63</v>
      </c>
      <c r="H75" t="s">
        <v>129</v>
      </c>
      <c r="I75" t="s">
        <v>167</v>
      </c>
      <c r="J75" t="s">
        <v>310</v>
      </c>
      <c r="K75">
        <v>8</v>
      </c>
      <c r="L75">
        <v>934.24</v>
      </c>
      <c r="M75">
        <v>7473.92</v>
      </c>
      <c r="N75" t="s">
        <v>58</v>
      </c>
      <c r="O75" t="s">
        <v>30</v>
      </c>
      <c r="P75" t="s">
        <v>45</v>
      </c>
      <c r="Q75" t="s">
        <v>99</v>
      </c>
      <c r="R75" t="s">
        <v>47</v>
      </c>
      <c r="S75" t="s">
        <v>48</v>
      </c>
      <c r="T75" t="s">
        <v>311</v>
      </c>
      <c r="U75" t="str">
        <f t="shared" si="9"/>
        <v>55+</v>
      </c>
      <c r="V75" t="str">
        <f t="shared" si="10"/>
        <v>December</v>
      </c>
      <c r="W75" t="str">
        <f t="shared" si="11"/>
        <v>Q4</v>
      </c>
      <c r="X75">
        <f t="shared" si="12"/>
        <v>2025</v>
      </c>
      <c r="Y75" t="str">
        <f t="shared" si="17"/>
        <v>High</v>
      </c>
      <c r="Z75" t="str">
        <f t="shared" si="13"/>
        <v>Regular Buyer</v>
      </c>
      <c r="AA75" t="str">
        <f t="shared" si="14"/>
        <v>Premium</v>
      </c>
      <c r="AB75" s="4">
        <f t="shared" ca="1" si="15"/>
        <v>116</v>
      </c>
      <c r="AC75" t="str">
        <f t="shared" ca="1" si="16"/>
        <v>At Risk</v>
      </c>
    </row>
    <row r="76" spans="1:29" x14ac:dyDescent="0.3">
      <c r="A76" t="s">
        <v>312</v>
      </c>
      <c r="B76" t="s">
        <v>159</v>
      </c>
      <c r="C76">
        <v>45</v>
      </c>
      <c r="D76" t="s">
        <v>22</v>
      </c>
      <c r="E76" t="s">
        <v>134</v>
      </c>
      <c r="F76" t="s">
        <v>135</v>
      </c>
      <c r="G76" t="s">
        <v>80</v>
      </c>
      <c r="H76" t="s">
        <v>26</v>
      </c>
      <c r="I76" t="s">
        <v>27</v>
      </c>
      <c r="J76" t="s">
        <v>313</v>
      </c>
      <c r="K76">
        <v>2</v>
      </c>
      <c r="L76">
        <v>2526.4499999999998</v>
      </c>
      <c r="M76">
        <v>5052.8999999999996</v>
      </c>
      <c r="N76" t="s">
        <v>108</v>
      </c>
      <c r="O76" t="s">
        <v>30</v>
      </c>
      <c r="P76" t="s">
        <v>31</v>
      </c>
      <c r="Q76" t="s">
        <v>32</v>
      </c>
      <c r="R76" t="s">
        <v>33</v>
      </c>
      <c r="S76" t="s">
        <v>142</v>
      </c>
      <c r="T76" t="s">
        <v>314</v>
      </c>
      <c r="U76" t="str">
        <f t="shared" si="9"/>
        <v>36-45</v>
      </c>
      <c r="V76" t="str">
        <f t="shared" si="10"/>
        <v>January</v>
      </c>
      <c r="W76" t="str">
        <f t="shared" si="11"/>
        <v>Q1</v>
      </c>
      <c r="X76">
        <f t="shared" si="12"/>
        <v>2025</v>
      </c>
      <c r="Y76" t="str">
        <f t="shared" si="17"/>
        <v>High</v>
      </c>
      <c r="Z76" t="str">
        <f t="shared" si="13"/>
        <v>Discount Buyer</v>
      </c>
      <c r="AA76" t="str">
        <f t="shared" si="14"/>
        <v>Premium</v>
      </c>
      <c r="AB76" s="4">
        <f t="shared" ca="1" si="15"/>
        <v>419</v>
      </c>
      <c r="AC76" t="str">
        <f t="shared" ca="1" si="16"/>
        <v>Churn Risk</v>
      </c>
    </row>
    <row r="77" spans="1:29" x14ac:dyDescent="0.3">
      <c r="A77" t="s">
        <v>315</v>
      </c>
      <c r="B77" t="s">
        <v>71</v>
      </c>
      <c r="C77">
        <v>29</v>
      </c>
      <c r="D77" t="s">
        <v>22</v>
      </c>
      <c r="E77" t="s">
        <v>106</v>
      </c>
      <c r="F77" t="s">
        <v>40</v>
      </c>
      <c r="G77" t="s">
        <v>63</v>
      </c>
      <c r="H77" t="s">
        <v>41</v>
      </c>
      <c r="I77" t="s">
        <v>81</v>
      </c>
      <c r="J77" t="s">
        <v>49</v>
      </c>
      <c r="K77">
        <v>5</v>
      </c>
      <c r="L77">
        <v>107.72</v>
      </c>
      <c r="M77">
        <v>538.6</v>
      </c>
      <c r="N77" t="s">
        <v>67</v>
      </c>
      <c r="O77" t="s">
        <v>44</v>
      </c>
      <c r="P77" t="s">
        <v>68</v>
      </c>
      <c r="Q77" t="s">
        <v>46</v>
      </c>
      <c r="R77" t="s">
        <v>47</v>
      </c>
      <c r="S77" t="s">
        <v>83</v>
      </c>
      <c r="T77" t="s">
        <v>316</v>
      </c>
      <c r="U77" t="str">
        <f t="shared" si="9"/>
        <v>26-35</v>
      </c>
      <c r="V77" t="str">
        <f t="shared" si="10"/>
        <v>March</v>
      </c>
      <c r="W77" t="str">
        <f t="shared" si="11"/>
        <v>Q1</v>
      </c>
      <c r="X77">
        <f t="shared" si="12"/>
        <v>2026</v>
      </c>
      <c r="Y77" t="str">
        <f t="shared" si="17"/>
        <v>High</v>
      </c>
      <c r="Z77" t="str">
        <f t="shared" si="13"/>
        <v>Regular Buyer</v>
      </c>
      <c r="AA77" t="str">
        <f t="shared" si="14"/>
        <v>Regular</v>
      </c>
      <c r="AB77" s="4">
        <f t="shared" ca="1" si="15"/>
        <v>27</v>
      </c>
      <c r="AC77" t="str">
        <f t="shared" ca="1" si="16"/>
        <v>Active</v>
      </c>
    </row>
    <row r="78" spans="1:29" x14ac:dyDescent="0.3">
      <c r="A78" t="s">
        <v>317</v>
      </c>
      <c r="B78" t="s">
        <v>21</v>
      </c>
      <c r="C78">
        <v>46</v>
      </c>
      <c r="D78" t="s">
        <v>22</v>
      </c>
      <c r="E78" t="s">
        <v>52</v>
      </c>
      <c r="F78" t="s">
        <v>53</v>
      </c>
      <c r="G78" t="s">
        <v>152</v>
      </c>
      <c r="H78" t="s">
        <v>129</v>
      </c>
      <c r="I78" t="s">
        <v>148</v>
      </c>
      <c r="J78" t="s">
        <v>318</v>
      </c>
      <c r="K78">
        <v>4</v>
      </c>
      <c r="L78">
        <v>1592.93</v>
      </c>
      <c r="M78">
        <v>6371.72</v>
      </c>
      <c r="N78" t="s">
        <v>67</v>
      </c>
      <c r="O78" t="s">
        <v>30</v>
      </c>
      <c r="P78" t="s">
        <v>45</v>
      </c>
      <c r="Q78" t="s">
        <v>99</v>
      </c>
      <c r="R78" t="s">
        <v>47</v>
      </c>
      <c r="S78" t="s">
        <v>48</v>
      </c>
      <c r="T78" t="s">
        <v>319</v>
      </c>
      <c r="U78" t="str">
        <f t="shared" si="9"/>
        <v>46-55</v>
      </c>
      <c r="V78" t="str">
        <f t="shared" si="10"/>
        <v>September</v>
      </c>
      <c r="W78" t="str">
        <f t="shared" si="11"/>
        <v>Q3</v>
      </c>
      <c r="X78">
        <f t="shared" si="12"/>
        <v>2025</v>
      </c>
      <c r="Y78" t="str">
        <f t="shared" si="17"/>
        <v>Low</v>
      </c>
      <c r="Z78" t="str">
        <f t="shared" si="13"/>
        <v>Regular Buyer</v>
      </c>
      <c r="AA78" t="str">
        <f t="shared" si="14"/>
        <v>Premium</v>
      </c>
      <c r="AB78" s="4">
        <f t="shared" ca="1" si="15"/>
        <v>216</v>
      </c>
      <c r="AC78" t="str">
        <f t="shared" ca="1" si="16"/>
        <v>Churn Risk</v>
      </c>
    </row>
    <row r="79" spans="1:29" x14ac:dyDescent="0.3">
      <c r="A79" t="s">
        <v>320</v>
      </c>
      <c r="B79" t="s">
        <v>77</v>
      </c>
      <c r="C79">
        <v>22</v>
      </c>
      <c r="D79" t="s">
        <v>22</v>
      </c>
      <c r="E79" t="s">
        <v>62</v>
      </c>
      <c r="F79" t="s">
        <v>53</v>
      </c>
      <c r="G79" t="s">
        <v>80</v>
      </c>
      <c r="H79" t="s">
        <v>41</v>
      </c>
      <c r="I79" t="s">
        <v>42</v>
      </c>
      <c r="J79" t="s">
        <v>321</v>
      </c>
      <c r="K79">
        <v>6</v>
      </c>
      <c r="L79">
        <v>4668.12</v>
      </c>
      <c r="M79">
        <v>28008.720000000001</v>
      </c>
      <c r="N79" t="s">
        <v>67</v>
      </c>
      <c r="O79" t="s">
        <v>30</v>
      </c>
      <c r="P79" t="s">
        <v>68</v>
      </c>
      <c r="Q79" t="s">
        <v>32</v>
      </c>
      <c r="R79" t="s">
        <v>47</v>
      </c>
      <c r="S79" t="s">
        <v>142</v>
      </c>
      <c r="T79" t="s">
        <v>322</v>
      </c>
      <c r="U79" t="str">
        <f t="shared" si="9"/>
        <v>18-25</v>
      </c>
      <c r="V79" t="str">
        <f t="shared" si="10"/>
        <v>June</v>
      </c>
      <c r="W79" t="str">
        <f t="shared" si="11"/>
        <v>Q2</v>
      </c>
      <c r="X79">
        <f t="shared" si="12"/>
        <v>2025</v>
      </c>
      <c r="Y79" t="str">
        <f t="shared" si="17"/>
        <v>High</v>
      </c>
      <c r="Z79" t="str">
        <f t="shared" si="13"/>
        <v>Regular Buyer</v>
      </c>
      <c r="AA79" t="str">
        <f t="shared" si="14"/>
        <v>VIP</v>
      </c>
      <c r="AB79" s="4">
        <f t="shared" ca="1" si="15"/>
        <v>264</v>
      </c>
      <c r="AC79" t="str">
        <f t="shared" ca="1" si="16"/>
        <v>Churn Risk</v>
      </c>
    </row>
    <row r="80" spans="1:29" x14ac:dyDescent="0.3">
      <c r="A80" t="s">
        <v>323</v>
      </c>
      <c r="B80" t="s">
        <v>159</v>
      </c>
      <c r="C80">
        <v>27</v>
      </c>
      <c r="D80" t="s">
        <v>38</v>
      </c>
      <c r="E80" t="s">
        <v>39</v>
      </c>
      <c r="F80" t="s">
        <v>40</v>
      </c>
      <c r="G80" t="s">
        <v>25</v>
      </c>
      <c r="H80" t="s">
        <v>55</v>
      </c>
      <c r="I80" t="s">
        <v>56</v>
      </c>
      <c r="J80" t="s">
        <v>324</v>
      </c>
      <c r="K80">
        <v>4</v>
      </c>
      <c r="L80">
        <v>813.62</v>
      </c>
      <c r="M80">
        <v>3254.48</v>
      </c>
      <c r="N80" t="s">
        <v>58</v>
      </c>
      <c r="O80" t="s">
        <v>30</v>
      </c>
      <c r="P80" t="s">
        <v>31</v>
      </c>
      <c r="Q80" t="s">
        <v>32</v>
      </c>
      <c r="R80" t="s">
        <v>47</v>
      </c>
      <c r="S80" t="s">
        <v>48</v>
      </c>
      <c r="T80" t="s">
        <v>325</v>
      </c>
      <c r="U80" t="str">
        <f t="shared" si="9"/>
        <v>26-35</v>
      </c>
      <c r="V80" t="str">
        <f t="shared" si="10"/>
        <v>December</v>
      </c>
      <c r="W80" t="str">
        <f t="shared" si="11"/>
        <v>Q4</v>
      </c>
      <c r="X80">
        <f t="shared" si="12"/>
        <v>2025</v>
      </c>
      <c r="Y80" t="str">
        <f t="shared" si="17"/>
        <v>High</v>
      </c>
      <c r="Z80" t="str">
        <f t="shared" si="13"/>
        <v>Regular Buyer</v>
      </c>
      <c r="AA80" t="str">
        <f t="shared" si="14"/>
        <v>Regular</v>
      </c>
      <c r="AB80" s="4">
        <f t="shared" ca="1" si="15"/>
        <v>57</v>
      </c>
      <c r="AC80" t="str">
        <f t="shared" ca="1" si="16"/>
        <v>At Risk</v>
      </c>
    </row>
    <row r="81" spans="1:29" x14ac:dyDescent="0.3">
      <c r="A81" t="s">
        <v>326</v>
      </c>
      <c r="B81" t="s">
        <v>21</v>
      </c>
      <c r="C81">
        <v>34</v>
      </c>
      <c r="D81" t="s">
        <v>38</v>
      </c>
      <c r="E81" t="s">
        <v>39</v>
      </c>
      <c r="F81" t="s">
        <v>40</v>
      </c>
      <c r="G81" t="s">
        <v>72</v>
      </c>
      <c r="H81" t="s">
        <v>55</v>
      </c>
      <c r="I81" t="s">
        <v>122</v>
      </c>
      <c r="J81" t="s">
        <v>327</v>
      </c>
      <c r="K81">
        <v>4</v>
      </c>
      <c r="L81">
        <v>816.97</v>
      </c>
      <c r="M81">
        <v>3267.88</v>
      </c>
      <c r="N81" t="s">
        <v>98</v>
      </c>
      <c r="O81" t="s">
        <v>44</v>
      </c>
      <c r="P81" t="s">
        <v>74</v>
      </c>
      <c r="Q81" t="s">
        <v>99</v>
      </c>
      <c r="R81" t="s">
        <v>47</v>
      </c>
      <c r="S81" t="s">
        <v>48</v>
      </c>
      <c r="T81" t="s">
        <v>328</v>
      </c>
      <c r="U81" t="str">
        <f t="shared" si="9"/>
        <v>26-35</v>
      </c>
      <c r="V81" t="str">
        <f t="shared" si="10"/>
        <v>October</v>
      </c>
      <c r="W81" t="str">
        <f t="shared" si="11"/>
        <v>Q4</v>
      </c>
      <c r="X81">
        <f t="shared" si="12"/>
        <v>2025</v>
      </c>
      <c r="Y81" t="str">
        <f t="shared" si="17"/>
        <v>Medium</v>
      </c>
      <c r="Z81" t="str">
        <f t="shared" si="13"/>
        <v>Regular Buyer</v>
      </c>
      <c r="AA81" t="str">
        <f t="shared" si="14"/>
        <v>Regular</v>
      </c>
      <c r="AB81" s="4">
        <f t="shared" ca="1" si="15"/>
        <v>195</v>
      </c>
      <c r="AC81" t="str">
        <f t="shared" ca="1" si="16"/>
        <v>Churn Risk</v>
      </c>
    </row>
    <row r="82" spans="1:29" x14ac:dyDescent="0.3">
      <c r="A82" t="s">
        <v>329</v>
      </c>
      <c r="B82" t="s">
        <v>111</v>
      </c>
      <c r="C82">
        <v>51</v>
      </c>
      <c r="D82" t="s">
        <v>22</v>
      </c>
      <c r="E82" t="s">
        <v>134</v>
      </c>
      <c r="F82" t="s">
        <v>135</v>
      </c>
      <c r="G82" t="s">
        <v>72</v>
      </c>
      <c r="H82" t="s">
        <v>41</v>
      </c>
      <c r="I82" t="s">
        <v>81</v>
      </c>
      <c r="J82" t="s">
        <v>330</v>
      </c>
      <c r="K82">
        <v>5</v>
      </c>
      <c r="L82">
        <v>4019.23</v>
      </c>
      <c r="M82">
        <v>20096.150000000001</v>
      </c>
      <c r="N82" t="s">
        <v>58</v>
      </c>
      <c r="O82" t="s">
        <v>30</v>
      </c>
      <c r="P82" t="s">
        <v>45</v>
      </c>
      <c r="Q82" t="s">
        <v>99</v>
      </c>
      <c r="R82" t="s">
        <v>47</v>
      </c>
      <c r="S82" t="s">
        <v>142</v>
      </c>
      <c r="T82" t="s">
        <v>331</v>
      </c>
      <c r="U82" t="str">
        <f t="shared" si="9"/>
        <v>46-55</v>
      </c>
      <c r="V82" t="str">
        <f t="shared" si="10"/>
        <v>March</v>
      </c>
      <c r="W82" t="str">
        <f t="shared" si="11"/>
        <v>Q1</v>
      </c>
      <c r="X82">
        <f t="shared" si="12"/>
        <v>2026</v>
      </c>
      <c r="Y82" t="str">
        <f t="shared" si="17"/>
        <v>Medium</v>
      </c>
      <c r="Z82" t="str">
        <f t="shared" si="13"/>
        <v>Regular Buyer</v>
      </c>
      <c r="AA82" t="str">
        <f t="shared" si="14"/>
        <v>VIP</v>
      </c>
      <c r="AB82" s="4">
        <f t="shared" ca="1" si="15"/>
        <v>-20</v>
      </c>
      <c r="AC82" t="str">
        <f t="shared" ca="1" si="16"/>
        <v>Active</v>
      </c>
    </row>
    <row r="83" spans="1:29" x14ac:dyDescent="0.3">
      <c r="A83" t="s">
        <v>332</v>
      </c>
      <c r="B83" t="s">
        <v>86</v>
      </c>
      <c r="C83">
        <v>54</v>
      </c>
      <c r="D83" t="s">
        <v>38</v>
      </c>
      <c r="E83" t="s">
        <v>62</v>
      </c>
      <c r="F83" t="s">
        <v>53</v>
      </c>
      <c r="G83" t="s">
        <v>80</v>
      </c>
      <c r="H83" t="s">
        <v>129</v>
      </c>
      <c r="I83" t="s">
        <v>148</v>
      </c>
      <c r="J83" t="s">
        <v>333</v>
      </c>
      <c r="K83">
        <v>1</v>
      </c>
      <c r="L83">
        <v>2039.82</v>
      </c>
      <c r="M83">
        <v>2039.82</v>
      </c>
      <c r="N83" t="s">
        <v>67</v>
      </c>
      <c r="O83" t="s">
        <v>30</v>
      </c>
      <c r="P83" t="s">
        <v>74</v>
      </c>
      <c r="Q83" t="s">
        <v>59</v>
      </c>
      <c r="R83" t="s">
        <v>33</v>
      </c>
      <c r="S83" t="s">
        <v>34</v>
      </c>
      <c r="T83" t="s">
        <v>334</v>
      </c>
      <c r="U83" t="str">
        <f t="shared" si="9"/>
        <v>46-55</v>
      </c>
      <c r="V83" t="str">
        <f t="shared" si="10"/>
        <v>September</v>
      </c>
      <c r="W83" t="str">
        <f t="shared" si="11"/>
        <v>Q3</v>
      </c>
      <c r="X83">
        <f t="shared" si="12"/>
        <v>2025</v>
      </c>
      <c r="Y83" t="str">
        <f t="shared" si="17"/>
        <v>High</v>
      </c>
      <c r="Z83" t="str">
        <f t="shared" si="13"/>
        <v>Discount Buyer</v>
      </c>
      <c r="AA83" t="str">
        <f t="shared" si="14"/>
        <v>Regular</v>
      </c>
      <c r="AB83" s="4">
        <f t="shared" ca="1" si="15"/>
        <v>154</v>
      </c>
      <c r="AC83" t="str">
        <f t="shared" ca="1" si="16"/>
        <v>At Risk</v>
      </c>
    </row>
    <row r="84" spans="1:29" x14ac:dyDescent="0.3">
      <c r="A84" t="s">
        <v>335</v>
      </c>
      <c r="B84" t="s">
        <v>111</v>
      </c>
      <c r="C84">
        <v>55</v>
      </c>
      <c r="D84" t="s">
        <v>38</v>
      </c>
      <c r="E84" t="s">
        <v>163</v>
      </c>
      <c r="F84" t="s">
        <v>135</v>
      </c>
      <c r="G84" t="s">
        <v>54</v>
      </c>
      <c r="H84" t="s">
        <v>41</v>
      </c>
      <c r="I84" t="s">
        <v>42</v>
      </c>
      <c r="J84" t="s">
        <v>336</v>
      </c>
      <c r="K84">
        <v>8</v>
      </c>
      <c r="L84">
        <v>4390.07</v>
      </c>
      <c r="M84">
        <v>35120.559999999998</v>
      </c>
      <c r="N84" t="s">
        <v>98</v>
      </c>
      <c r="O84" t="s">
        <v>44</v>
      </c>
      <c r="P84" t="s">
        <v>31</v>
      </c>
      <c r="Q84" t="s">
        <v>32</v>
      </c>
      <c r="R84" t="s">
        <v>33</v>
      </c>
      <c r="S84" t="s">
        <v>48</v>
      </c>
      <c r="T84" t="s">
        <v>337</v>
      </c>
      <c r="U84" t="str">
        <f t="shared" si="9"/>
        <v>46-55</v>
      </c>
      <c r="V84" t="str">
        <f t="shared" si="10"/>
        <v>June</v>
      </c>
      <c r="W84" t="str">
        <f t="shared" si="11"/>
        <v>Q2</v>
      </c>
      <c r="X84">
        <f t="shared" si="12"/>
        <v>2025</v>
      </c>
      <c r="Y84" t="str">
        <f t="shared" si="17"/>
        <v>Medium</v>
      </c>
      <c r="Z84" t="str">
        <f t="shared" si="13"/>
        <v>Discount Buyer</v>
      </c>
      <c r="AA84" t="str">
        <f t="shared" si="14"/>
        <v>VIP</v>
      </c>
      <c r="AB84" s="4">
        <f t="shared" ca="1" si="15"/>
        <v>340</v>
      </c>
      <c r="AC84" t="str">
        <f t="shared" ca="1" si="16"/>
        <v>Churn Risk</v>
      </c>
    </row>
    <row r="85" spans="1:29" x14ac:dyDescent="0.3">
      <c r="A85" t="s">
        <v>338</v>
      </c>
      <c r="B85" t="s">
        <v>86</v>
      </c>
      <c r="C85">
        <v>34</v>
      </c>
      <c r="D85" t="s">
        <v>38</v>
      </c>
      <c r="E85" t="s">
        <v>106</v>
      </c>
      <c r="F85" t="s">
        <v>40</v>
      </c>
      <c r="G85" t="s">
        <v>25</v>
      </c>
      <c r="H85" t="s">
        <v>129</v>
      </c>
      <c r="I85" t="s">
        <v>130</v>
      </c>
      <c r="J85" t="s">
        <v>339</v>
      </c>
      <c r="K85">
        <v>4</v>
      </c>
      <c r="L85">
        <v>3738.08</v>
      </c>
      <c r="M85">
        <v>14952.32</v>
      </c>
      <c r="N85" t="s">
        <v>67</v>
      </c>
      <c r="O85" t="s">
        <v>44</v>
      </c>
      <c r="P85" t="s">
        <v>68</v>
      </c>
      <c r="Q85" t="s">
        <v>59</v>
      </c>
      <c r="R85" t="s">
        <v>33</v>
      </c>
      <c r="S85" t="s">
        <v>48</v>
      </c>
      <c r="T85" t="s">
        <v>340</v>
      </c>
      <c r="U85" t="str">
        <f t="shared" si="9"/>
        <v>26-35</v>
      </c>
      <c r="V85" t="str">
        <f t="shared" si="10"/>
        <v>November</v>
      </c>
      <c r="W85" t="str">
        <f t="shared" si="11"/>
        <v>Q4</v>
      </c>
      <c r="X85">
        <f t="shared" si="12"/>
        <v>2025</v>
      </c>
      <c r="Y85" t="str">
        <f t="shared" si="17"/>
        <v>High</v>
      </c>
      <c r="Z85" t="str">
        <f t="shared" si="13"/>
        <v>Discount Buyer</v>
      </c>
      <c r="AA85" t="str">
        <f t="shared" si="14"/>
        <v>VIP</v>
      </c>
      <c r="AB85" s="4">
        <f t="shared" ca="1" si="15"/>
        <v>124</v>
      </c>
      <c r="AC85" t="str">
        <f t="shared" ca="1" si="16"/>
        <v>At Risk</v>
      </c>
    </row>
    <row r="86" spans="1:29" x14ac:dyDescent="0.3">
      <c r="A86" t="s">
        <v>341</v>
      </c>
      <c r="B86" t="s">
        <v>71</v>
      </c>
      <c r="C86">
        <v>60</v>
      </c>
      <c r="D86" t="s">
        <v>38</v>
      </c>
      <c r="E86" t="s">
        <v>52</v>
      </c>
      <c r="F86" t="s">
        <v>53</v>
      </c>
      <c r="G86" t="s">
        <v>80</v>
      </c>
      <c r="H86" t="s">
        <v>41</v>
      </c>
      <c r="I86" t="s">
        <v>42</v>
      </c>
      <c r="J86" t="s">
        <v>170</v>
      </c>
      <c r="K86">
        <v>4</v>
      </c>
      <c r="L86">
        <v>1641.07</v>
      </c>
      <c r="M86">
        <v>6564.28</v>
      </c>
      <c r="N86" t="s">
        <v>67</v>
      </c>
      <c r="O86" t="s">
        <v>30</v>
      </c>
      <c r="P86" t="s">
        <v>68</v>
      </c>
      <c r="Q86" t="s">
        <v>99</v>
      </c>
      <c r="R86" t="s">
        <v>33</v>
      </c>
      <c r="S86" t="s">
        <v>48</v>
      </c>
      <c r="T86" t="s">
        <v>324</v>
      </c>
      <c r="U86" t="str">
        <f t="shared" si="9"/>
        <v>55+</v>
      </c>
      <c r="V86" t="str">
        <f t="shared" si="10"/>
        <v>November</v>
      </c>
      <c r="W86" t="str">
        <f t="shared" si="11"/>
        <v>Q4</v>
      </c>
      <c r="X86">
        <f t="shared" si="12"/>
        <v>2025</v>
      </c>
      <c r="Y86" t="str">
        <f t="shared" si="17"/>
        <v>High</v>
      </c>
      <c r="Z86" t="str">
        <f t="shared" si="13"/>
        <v>Discount Buyer</v>
      </c>
      <c r="AA86" t="str">
        <f t="shared" si="14"/>
        <v>Premium</v>
      </c>
      <c r="AB86" s="4">
        <f t="shared" ca="1" si="15"/>
        <v>167</v>
      </c>
      <c r="AC86" t="str">
        <f t="shared" ca="1" si="16"/>
        <v>At Risk</v>
      </c>
    </row>
    <row r="87" spans="1:29" x14ac:dyDescent="0.3">
      <c r="A87" t="s">
        <v>342</v>
      </c>
      <c r="B87" t="s">
        <v>111</v>
      </c>
      <c r="C87">
        <v>23</v>
      </c>
      <c r="D87" t="s">
        <v>22</v>
      </c>
      <c r="E87" t="s">
        <v>121</v>
      </c>
      <c r="F87" t="s">
        <v>24</v>
      </c>
      <c r="G87" t="s">
        <v>54</v>
      </c>
      <c r="H87" t="s">
        <v>26</v>
      </c>
      <c r="I87" t="s">
        <v>27</v>
      </c>
      <c r="J87" t="s">
        <v>343</v>
      </c>
      <c r="K87">
        <v>2</v>
      </c>
      <c r="L87">
        <v>1188.56</v>
      </c>
      <c r="M87">
        <v>2377.12</v>
      </c>
      <c r="N87" t="s">
        <v>98</v>
      </c>
      <c r="O87" t="s">
        <v>30</v>
      </c>
      <c r="P87" t="s">
        <v>68</v>
      </c>
      <c r="Q87" t="s">
        <v>99</v>
      </c>
      <c r="R87" t="s">
        <v>33</v>
      </c>
      <c r="S87" t="s">
        <v>142</v>
      </c>
      <c r="T87" t="s">
        <v>255</v>
      </c>
      <c r="U87" t="str">
        <f t="shared" si="9"/>
        <v>18-25</v>
      </c>
      <c r="V87" t="str">
        <f t="shared" si="10"/>
        <v>February</v>
      </c>
      <c r="W87" t="str">
        <f t="shared" si="11"/>
        <v>Q1</v>
      </c>
      <c r="X87">
        <f t="shared" si="12"/>
        <v>2025</v>
      </c>
      <c r="Y87" t="str">
        <f t="shared" si="17"/>
        <v>High</v>
      </c>
      <c r="Z87" t="str">
        <f t="shared" si="13"/>
        <v>Discount Buyer</v>
      </c>
      <c r="AA87" t="str">
        <f t="shared" si="14"/>
        <v>Regular</v>
      </c>
      <c r="AB87" s="4">
        <f t="shared" ca="1" si="15"/>
        <v>397</v>
      </c>
      <c r="AC87" t="str">
        <f t="shared" ca="1" si="16"/>
        <v>Churn Risk</v>
      </c>
    </row>
    <row r="88" spans="1:29" x14ac:dyDescent="0.3">
      <c r="A88" t="s">
        <v>344</v>
      </c>
      <c r="B88" t="s">
        <v>71</v>
      </c>
      <c r="C88">
        <v>25</v>
      </c>
      <c r="D88" t="s">
        <v>22</v>
      </c>
      <c r="E88" t="s">
        <v>87</v>
      </c>
      <c r="F88" t="s">
        <v>79</v>
      </c>
      <c r="G88" t="s">
        <v>152</v>
      </c>
      <c r="H88" t="s">
        <v>55</v>
      </c>
      <c r="I88" t="s">
        <v>96</v>
      </c>
      <c r="J88" t="s">
        <v>345</v>
      </c>
      <c r="K88">
        <v>2</v>
      </c>
      <c r="L88">
        <v>1387.91</v>
      </c>
      <c r="M88">
        <v>2775.82</v>
      </c>
      <c r="N88" t="s">
        <v>29</v>
      </c>
      <c r="O88" t="s">
        <v>44</v>
      </c>
      <c r="P88" t="s">
        <v>74</v>
      </c>
      <c r="Q88" t="s">
        <v>32</v>
      </c>
      <c r="R88" t="s">
        <v>33</v>
      </c>
      <c r="S88" t="s">
        <v>48</v>
      </c>
      <c r="T88" t="s">
        <v>181</v>
      </c>
      <c r="U88" t="str">
        <f t="shared" si="9"/>
        <v>18-25</v>
      </c>
      <c r="V88" t="str">
        <f t="shared" si="10"/>
        <v>March</v>
      </c>
      <c r="W88" t="str">
        <f t="shared" si="11"/>
        <v>Q1</v>
      </c>
      <c r="X88">
        <f t="shared" si="12"/>
        <v>2025</v>
      </c>
      <c r="Y88" t="str">
        <f t="shared" si="17"/>
        <v>Medium</v>
      </c>
      <c r="Z88" t="str">
        <f t="shared" si="13"/>
        <v>Discount Buyer</v>
      </c>
      <c r="AA88" t="str">
        <f t="shared" si="14"/>
        <v>Regular</v>
      </c>
      <c r="AB88" s="4">
        <f t="shared" ca="1" si="15"/>
        <v>441</v>
      </c>
      <c r="AC88" t="str">
        <f t="shared" ca="1" si="16"/>
        <v>Churn Risk</v>
      </c>
    </row>
    <row r="89" spans="1:29" x14ac:dyDescent="0.3">
      <c r="A89" t="s">
        <v>346</v>
      </c>
      <c r="B89" t="s">
        <v>71</v>
      </c>
      <c r="C89">
        <v>58</v>
      </c>
      <c r="D89" t="s">
        <v>22</v>
      </c>
      <c r="E89" t="s">
        <v>62</v>
      </c>
      <c r="F89" t="s">
        <v>53</v>
      </c>
      <c r="G89" t="s">
        <v>80</v>
      </c>
      <c r="H89" t="s">
        <v>129</v>
      </c>
      <c r="I89" t="s">
        <v>130</v>
      </c>
      <c r="J89" t="s">
        <v>200</v>
      </c>
      <c r="K89">
        <v>8</v>
      </c>
      <c r="L89">
        <v>1831.16</v>
      </c>
      <c r="M89">
        <v>14649.28</v>
      </c>
      <c r="N89" t="s">
        <v>108</v>
      </c>
      <c r="O89" t="s">
        <v>44</v>
      </c>
      <c r="P89" t="s">
        <v>31</v>
      </c>
      <c r="Q89" t="s">
        <v>32</v>
      </c>
      <c r="R89" t="s">
        <v>47</v>
      </c>
      <c r="S89" t="s">
        <v>142</v>
      </c>
      <c r="T89" t="s">
        <v>347</v>
      </c>
      <c r="U89" t="str">
        <f t="shared" si="9"/>
        <v>55+</v>
      </c>
      <c r="V89" t="str">
        <f t="shared" si="10"/>
        <v>August</v>
      </c>
      <c r="W89" t="str">
        <f t="shared" si="11"/>
        <v>Q3</v>
      </c>
      <c r="X89">
        <f t="shared" si="12"/>
        <v>2025</v>
      </c>
      <c r="Y89" t="str">
        <f t="shared" si="17"/>
        <v>Medium</v>
      </c>
      <c r="Z89" t="str">
        <f t="shared" si="13"/>
        <v>Regular Buyer</v>
      </c>
      <c r="AA89" t="str">
        <f t="shared" si="14"/>
        <v>VIP</v>
      </c>
      <c r="AB89" s="4">
        <f t="shared" ca="1" si="15"/>
        <v>193</v>
      </c>
      <c r="AC89" t="str">
        <f t="shared" ca="1" si="16"/>
        <v>Churn Risk</v>
      </c>
    </row>
    <row r="90" spans="1:29" x14ac:dyDescent="0.3">
      <c r="A90" t="s">
        <v>348</v>
      </c>
      <c r="B90" t="s">
        <v>21</v>
      </c>
      <c r="C90">
        <v>24</v>
      </c>
      <c r="D90" t="s">
        <v>22</v>
      </c>
      <c r="E90" t="s">
        <v>87</v>
      </c>
      <c r="F90" t="s">
        <v>79</v>
      </c>
      <c r="G90" t="s">
        <v>25</v>
      </c>
      <c r="H90" t="s">
        <v>55</v>
      </c>
      <c r="I90" t="s">
        <v>96</v>
      </c>
      <c r="J90" t="s">
        <v>349</v>
      </c>
      <c r="K90">
        <v>8</v>
      </c>
      <c r="L90">
        <v>193.15</v>
      </c>
      <c r="M90">
        <v>1545.2</v>
      </c>
      <c r="N90" t="s">
        <v>98</v>
      </c>
      <c r="O90" t="s">
        <v>44</v>
      </c>
      <c r="P90" t="s">
        <v>74</v>
      </c>
      <c r="Q90" t="s">
        <v>59</v>
      </c>
      <c r="R90" t="s">
        <v>47</v>
      </c>
      <c r="S90" t="s">
        <v>83</v>
      </c>
      <c r="T90" t="s">
        <v>350</v>
      </c>
      <c r="U90" t="str">
        <f t="shared" si="9"/>
        <v>18-25</v>
      </c>
      <c r="V90" t="str">
        <f t="shared" si="10"/>
        <v>January</v>
      </c>
      <c r="W90" t="str">
        <f t="shared" si="11"/>
        <v>Q1</v>
      </c>
      <c r="X90">
        <f t="shared" si="12"/>
        <v>2026</v>
      </c>
      <c r="Y90" t="str">
        <f t="shared" si="17"/>
        <v>High</v>
      </c>
      <c r="Z90" t="str">
        <f t="shared" si="13"/>
        <v>Regular Buyer</v>
      </c>
      <c r="AA90" t="str">
        <f t="shared" si="14"/>
        <v>Regular</v>
      </c>
      <c r="AB90" s="4">
        <f t="shared" ca="1" si="15"/>
        <v>69</v>
      </c>
      <c r="AC90" t="str">
        <f t="shared" ca="1" si="16"/>
        <v>At Risk</v>
      </c>
    </row>
    <row r="91" spans="1:29" x14ac:dyDescent="0.3">
      <c r="A91" t="s">
        <v>351</v>
      </c>
      <c r="B91" t="s">
        <v>71</v>
      </c>
      <c r="C91">
        <v>54</v>
      </c>
      <c r="D91" t="s">
        <v>22</v>
      </c>
      <c r="E91" t="s">
        <v>121</v>
      </c>
      <c r="F91" t="s">
        <v>24</v>
      </c>
      <c r="G91" t="s">
        <v>72</v>
      </c>
      <c r="H91" t="s">
        <v>115</v>
      </c>
      <c r="I91" t="s">
        <v>116</v>
      </c>
      <c r="J91" t="s">
        <v>352</v>
      </c>
      <c r="K91">
        <v>1</v>
      </c>
      <c r="L91">
        <v>4857.12</v>
      </c>
      <c r="M91">
        <v>4857.12</v>
      </c>
      <c r="N91" t="s">
        <v>29</v>
      </c>
      <c r="O91" t="s">
        <v>30</v>
      </c>
      <c r="P91" t="s">
        <v>68</v>
      </c>
      <c r="Q91" t="s">
        <v>46</v>
      </c>
      <c r="R91" t="s">
        <v>47</v>
      </c>
      <c r="S91" t="s">
        <v>34</v>
      </c>
      <c r="T91" t="s">
        <v>262</v>
      </c>
      <c r="U91" t="str">
        <f t="shared" si="9"/>
        <v>46-55</v>
      </c>
      <c r="V91" t="str">
        <f t="shared" si="10"/>
        <v>May</v>
      </c>
      <c r="W91" t="str">
        <f t="shared" si="11"/>
        <v>Q2</v>
      </c>
      <c r="X91">
        <f t="shared" si="12"/>
        <v>2026</v>
      </c>
      <c r="Y91" t="str">
        <f t="shared" si="17"/>
        <v>Medium</v>
      </c>
      <c r="Z91" t="str">
        <f t="shared" si="13"/>
        <v>Regular Buyer</v>
      </c>
      <c r="AA91" t="str">
        <f t="shared" si="14"/>
        <v>Regular</v>
      </c>
      <c r="AB91" s="4">
        <f t="shared" ca="1" si="15"/>
        <v>-21</v>
      </c>
      <c r="AC91" t="str">
        <f t="shared" ca="1" si="16"/>
        <v>Active</v>
      </c>
    </row>
    <row r="92" spans="1:29" x14ac:dyDescent="0.3">
      <c r="A92" t="s">
        <v>353</v>
      </c>
      <c r="B92" t="s">
        <v>21</v>
      </c>
      <c r="C92">
        <v>44</v>
      </c>
      <c r="D92" t="s">
        <v>22</v>
      </c>
      <c r="E92" t="s">
        <v>121</v>
      </c>
      <c r="F92" t="s">
        <v>24</v>
      </c>
      <c r="G92" t="s">
        <v>72</v>
      </c>
      <c r="H92" t="s">
        <v>64</v>
      </c>
      <c r="I92" t="s">
        <v>65</v>
      </c>
      <c r="J92" t="s">
        <v>354</v>
      </c>
      <c r="K92">
        <v>8</v>
      </c>
      <c r="L92">
        <v>3678.2</v>
      </c>
      <c r="M92">
        <v>29425.599999999999</v>
      </c>
      <c r="N92" t="s">
        <v>98</v>
      </c>
      <c r="O92" t="s">
        <v>30</v>
      </c>
      <c r="P92" t="s">
        <v>68</v>
      </c>
      <c r="Q92" t="s">
        <v>99</v>
      </c>
      <c r="R92" t="s">
        <v>33</v>
      </c>
      <c r="S92" t="s">
        <v>34</v>
      </c>
      <c r="T92" t="s">
        <v>178</v>
      </c>
      <c r="U92" t="str">
        <f t="shared" si="9"/>
        <v>36-45</v>
      </c>
      <c r="V92" t="str">
        <f t="shared" si="10"/>
        <v>May</v>
      </c>
      <c r="W92" t="str">
        <f t="shared" si="11"/>
        <v>Q2</v>
      </c>
      <c r="X92">
        <f t="shared" si="12"/>
        <v>2025</v>
      </c>
      <c r="Y92" t="str">
        <f t="shared" si="17"/>
        <v>Medium</v>
      </c>
      <c r="Z92" t="str">
        <f t="shared" si="13"/>
        <v>Discount Buyer</v>
      </c>
      <c r="AA92" t="str">
        <f t="shared" si="14"/>
        <v>VIP</v>
      </c>
      <c r="AB92" s="4">
        <f t="shared" ca="1" si="15"/>
        <v>386</v>
      </c>
      <c r="AC92" t="str">
        <f t="shared" ca="1" si="16"/>
        <v>Churn Risk</v>
      </c>
    </row>
    <row r="93" spans="1:29" x14ac:dyDescent="0.3">
      <c r="A93" t="s">
        <v>355</v>
      </c>
      <c r="B93" t="s">
        <v>71</v>
      </c>
      <c r="C93">
        <v>30</v>
      </c>
      <c r="D93" t="s">
        <v>38</v>
      </c>
      <c r="E93" t="s">
        <v>23</v>
      </c>
      <c r="F93" t="s">
        <v>24</v>
      </c>
      <c r="G93" t="s">
        <v>25</v>
      </c>
      <c r="H93" t="s">
        <v>41</v>
      </c>
      <c r="I93" t="s">
        <v>42</v>
      </c>
      <c r="J93" t="s">
        <v>356</v>
      </c>
      <c r="K93">
        <v>8</v>
      </c>
      <c r="L93">
        <v>3062.77</v>
      </c>
      <c r="M93">
        <v>24502.16</v>
      </c>
      <c r="N93" t="s">
        <v>108</v>
      </c>
      <c r="O93" t="s">
        <v>30</v>
      </c>
      <c r="P93" t="s">
        <v>74</v>
      </c>
      <c r="Q93" t="s">
        <v>46</v>
      </c>
      <c r="R93" t="s">
        <v>47</v>
      </c>
      <c r="S93" t="s">
        <v>83</v>
      </c>
      <c r="T93" t="s">
        <v>357</v>
      </c>
      <c r="U93" t="str">
        <f t="shared" si="9"/>
        <v>26-35</v>
      </c>
      <c r="V93" t="str">
        <f t="shared" si="10"/>
        <v>October</v>
      </c>
      <c r="W93" t="str">
        <f t="shared" si="11"/>
        <v>Q4</v>
      </c>
      <c r="X93">
        <f t="shared" si="12"/>
        <v>2025</v>
      </c>
      <c r="Y93" t="str">
        <f t="shared" si="17"/>
        <v>High</v>
      </c>
      <c r="Z93" t="str">
        <f t="shared" si="13"/>
        <v>Regular Buyer</v>
      </c>
      <c r="AA93" t="str">
        <f t="shared" si="14"/>
        <v>VIP</v>
      </c>
      <c r="AB93" s="4">
        <f t="shared" ca="1" si="15"/>
        <v>199</v>
      </c>
      <c r="AC93" t="str">
        <f t="shared" ca="1" si="16"/>
        <v>Churn Risk</v>
      </c>
    </row>
    <row r="94" spans="1:29" x14ac:dyDescent="0.3">
      <c r="A94" t="s">
        <v>358</v>
      </c>
      <c r="B94" t="s">
        <v>120</v>
      </c>
      <c r="C94">
        <v>32</v>
      </c>
      <c r="D94" t="s">
        <v>38</v>
      </c>
      <c r="E94" t="s">
        <v>134</v>
      </c>
      <c r="F94" t="s">
        <v>135</v>
      </c>
      <c r="G94" t="s">
        <v>91</v>
      </c>
      <c r="H94" t="s">
        <v>26</v>
      </c>
      <c r="I94" t="s">
        <v>140</v>
      </c>
      <c r="J94" t="s">
        <v>181</v>
      </c>
      <c r="K94">
        <v>4</v>
      </c>
      <c r="L94">
        <v>620.86</v>
      </c>
      <c r="M94">
        <v>2483.44</v>
      </c>
      <c r="N94" t="s">
        <v>98</v>
      </c>
      <c r="O94" t="s">
        <v>44</v>
      </c>
      <c r="P94" t="s">
        <v>74</v>
      </c>
      <c r="Q94" t="s">
        <v>32</v>
      </c>
      <c r="R94" t="s">
        <v>33</v>
      </c>
      <c r="S94" t="s">
        <v>142</v>
      </c>
      <c r="T94" t="s">
        <v>246</v>
      </c>
      <c r="U94" t="str">
        <f t="shared" si="9"/>
        <v>26-35</v>
      </c>
      <c r="V94" t="str">
        <f t="shared" si="10"/>
        <v>March</v>
      </c>
      <c r="W94" t="str">
        <f t="shared" si="11"/>
        <v>Q1</v>
      </c>
      <c r="X94">
        <f t="shared" si="12"/>
        <v>2025</v>
      </c>
      <c r="Y94" t="str">
        <f t="shared" si="17"/>
        <v>High</v>
      </c>
      <c r="Z94" t="str">
        <f t="shared" si="13"/>
        <v>Discount Buyer</v>
      </c>
      <c r="AA94" t="str">
        <f t="shared" si="14"/>
        <v>Regular</v>
      </c>
      <c r="AB94" s="4">
        <f t="shared" ca="1" si="15"/>
        <v>363</v>
      </c>
      <c r="AC94" t="str">
        <f t="shared" ca="1" si="16"/>
        <v>Churn Risk</v>
      </c>
    </row>
    <row r="95" spans="1:29" x14ac:dyDescent="0.3">
      <c r="A95" t="s">
        <v>359</v>
      </c>
      <c r="B95" t="s">
        <v>86</v>
      </c>
      <c r="C95">
        <v>53</v>
      </c>
      <c r="D95" t="s">
        <v>22</v>
      </c>
      <c r="E95" t="s">
        <v>52</v>
      </c>
      <c r="F95" t="s">
        <v>53</v>
      </c>
      <c r="G95" t="s">
        <v>80</v>
      </c>
      <c r="H95" t="s">
        <v>26</v>
      </c>
      <c r="I95" t="s">
        <v>136</v>
      </c>
      <c r="J95" t="s">
        <v>360</v>
      </c>
      <c r="K95">
        <v>8</v>
      </c>
      <c r="L95">
        <v>4573.55</v>
      </c>
      <c r="M95">
        <v>36588.400000000001</v>
      </c>
      <c r="N95" t="s">
        <v>98</v>
      </c>
      <c r="O95" t="s">
        <v>44</v>
      </c>
      <c r="P95" t="s">
        <v>68</v>
      </c>
      <c r="Q95" t="s">
        <v>32</v>
      </c>
      <c r="R95" t="s">
        <v>33</v>
      </c>
      <c r="S95" t="s">
        <v>83</v>
      </c>
      <c r="T95" t="s">
        <v>229</v>
      </c>
      <c r="U95" t="str">
        <f t="shared" si="9"/>
        <v>46-55</v>
      </c>
      <c r="V95" t="str">
        <f t="shared" si="10"/>
        <v>May</v>
      </c>
      <c r="W95" t="str">
        <f t="shared" si="11"/>
        <v>Q2</v>
      </c>
      <c r="X95">
        <f t="shared" si="12"/>
        <v>2025</v>
      </c>
      <c r="Y95" t="str">
        <f t="shared" si="17"/>
        <v>Medium</v>
      </c>
      <c r="Z95" t="str">
        <f t="shared" si="13"/>
        <v>Discount Buyer</v>
      </c>
      <c r="AA95" t="str">
        <f t="shared" si="14"/>
        <v>VIP</v>
      </c>
      <c r="AB95" s="4">
        <f t="shared" ca="1" si="15"/>
        <v>278</v>
      </c>
      <c r="AC95" t="str">
        <f t="shared" ca="1" si="16"/>
        <v>Churn Risk</v>
      </c>
    </row>
    <row r="96" spans="1:29" x14ac:dyDescent="0.3">
      <c r="A96" t="s">
        <v>361</v>
      </c>
      <c r="B96" t="s">
        <v>21</v>
      </c>
      <c r="C96">
        <v>38</v>
      </c>
      <c r="D96" t="s">
        <v>22</v>
      </c>
      <c r="E96" t="s">
        <v>78</v>
      </c>
      <c r="F96" t="s">
        <v>79</v>
      </c>
      <c r="G96" t="s">
        <v>54</v>
      </c>
      <c r="H96" t="s">
        <v>115</v>
      </c>
      <c r="I96" t="s">
        <v>176</v>
      </c>
      <c r="J96" t="s">
        <v>362</v>
      </c>
      <c r="K96">
        <v>4</v>
      </c>
      <c r="L96">
        <v>4695.7299999999996</v>
      </c>
      <c r="M96">
        <v>18782.919999999998</v>
      </c>
      <c r="N96" t="s">
        <v>108</v>
      </c>
      <c r="O96" t="s">
        <v>44</v>
      </c>
      <c r="P96" t="s">
        <v>45</v>
      </c>
      <c r="Q96" t="s">
        <v>46</v>
      </c>
      <c r="R96" t="s">
        <v>47</v>
      </c>
      <c r="S96" t="s">
        <v>34</v>
      </c>
      <c r="T96" t="s">
        <v>223</v>
      </c>
      <c r="U96" t="str">
        <f t="shared" si="9"/>
        <v>36-45</v>
      </c>
      <c r="V96" t="str">
        <f t="shared" si="10"/>
        <v>January</v>
      </c>
      <c r="W96" t="str">
        <f t="shared" si="11"/>
        <v>Q1</v>
      </c>
      <c r="X96">
        <f t="shared" si="12"/>
        <v>2025</v>
      </c>
      <c r="Y96" t="str">
        <f t="shared" si="17"/>
        <v>High</v>
      </c>
      <c r="Z96" t="str">
        <f t="shared" si="13"/>
        <v>Regular Buyer</v>
      </c>
      <c r="AA96" t="str">
        <f t="shared" si="14"/>
        <v>VIP</v>
      </c>
      <c r="AB96" s="4">
        <f t="shared" ca="1" si="15"/>
        <v>444</v>
      </c>
      <c r="AC96" t="str">
        <f t="shared" ca="1" si="16"/>
        <v>Churn Risk</v>
      </c>
    </row>
    <row r="97" spans="1:29" x14ac:dyDescent="0.3">
      <c r="A97" t="s">
        <v>363</v>
      </c>
      <c r="B97" t="s">
        <v>120</v>
      </c>
      <c r="C97">
        <v>18</v>
      </c>
      <c r="D97" t="s">
        <v>22</v>
      </c>
      <c r="E97" t="s">
        <v>163</v>
      </c>
      <c r="F97" t="s">
        <v>135</v>
      </c>
      <c r="G97" t="s">
        <v>152</v>
      </c>
      <c r="H97" t="s">
        <v>55</v>
      </c>
      <c r="I97" t="s">
        <v>122</v>
      </c>
      <c r="J97" t="s">
        <v>364</v>
      </c>
      <c r="K97">
        <v>6</v>
      </c>
      <c r="L97">
        <v>1380.53</v>
      </c>
      <c r="M97">
        <v>8283.18</v>
      </c>
      <c r="N97" t="s">
        <v>67</v>
      </c>
      <c r="O97" t="s">
        <v>30</v>
      </c>
      <c r="P97" t="s">
        <v>45</v>
      </c>
      <c r="Q97" t="s">
        <v>46</v>
      </c>
      <c r="R97" t="s">
        <v>33</v>
      </c>
      <c r="S97" t="s">
        <v>48</v>
      </c>
      <c r="T97" t="s">
        <v>365</v>
      </c>
      <c r="U97" t="str">
        <f t="shared" si="9"/>
        <v>18-25</v>
      </c>
      <c r="V97" t="str">
        <f t="shared" si="10"/>
        <v>September</v>
      </c>
      <c r="W97" t="str">
        <f t="shared" si="11"/>
        <v>Q3</v>
      </c>
      <c r="X97">
        <f t="shared" si="12"/>
        <v>2025</v>
      </c>
      <c r="Y97" t="str">
        <f t="shared" si="17"/>
        <v>High</v>
      </c>
      <c r="Z97" t="str">
        <f t="shared" si="13"/>
        <v>Discount Buyer</v>
      </c>
      <c r="AA97" t="str">
        <f t="shared" si="14"/>
        <v>Premium</v>
      </c>
      <c r="AB97" s="4">
        <f t="shared" ca="1" si="15"/>
        <v>189</v>
      </c>
      <c r="AC97" t="str">
        <f t="shared" ca="1" si="16"/>
        <v>Churn Risk</v>
      </c>
    </row>
    <row r="98" spans="1:29" x14ac:dyDescent="0.3">
      <c r="A98" t="s">
        <v>366</v>
      </c>
      <c r="B98" t="s">
        <v>51</v>
      </c>
      <c r="C98">
        <v>36</v>
      </c>
      <c r="D98" t="s">
        <v>38</v>
      </c>
      <c r="E98" t="s">
        <v>121</v>
      </c>
      <c r="F98" t="s">
        <v>24</v>
      </c>
      <c r="G98" t="s">
        <v>54</v>
      </c>
      <c r="H98" t="s">
        <v>115</v>
      </c>
      <c r="I98" t="s">
        <v>228</v>
      </c>
      <c r="J98" t="s">
        <v>325</v>
      </c>
      <c r="K98">
        <v>6</v>
      </c>
      <c r="L98">
        <v>3911.78</v>
      </c>
      <c r="M98">
        <v>23470.68</v>
      </c>
      <c r="N98" t="s">
        <v>58</v>
      </c>
      <c r="O98" t="s">
        <v>30</v>
      </c>
      <c r="P98" t="s">
        <v>68</v>
      </c>
      <c r="Q98" t="s">
        <v>99</v>
      </c>
      <c r="R98" t="s">
        <v>33</v>
      </c>
      <c r="S98" t="s">
        <v>34</v>
      </c>
      <c r="T98" t="s">
        <v>367</v>
      </c>
      <c r="U98" t="str">
        <f t="shared" si="9"/>
        <v>36-45</v>
      </c>
      <c r="V98" t="str">
        <f t="shared" si="10"/>
        <v>April</v>
      </c>
      <c r="W98" t="str">
        <f t="shared" si="11"/>
        <v>Q2</v>
      </c>
      <c r="X98">
        <f t="shared" si="12"/>
        <v>2026</v>
      </c>
      <c r="Y98" t="str">
        <f t="shared" si="17"/>
        <v>High</v>
      </c>
      <c r="Z98" t="str">
        <f t="shared" si="13"/>
        <v>Discount Buyer</v>
      </c>
      <c r="AA98" t="str">
        <f t="shared" si="14"/>
        <v>VIP</v>
      </c>
      <c r="AB98" s="4">
        <f t="shared" ca="1" si="15"/>
        <v>6</v>
      </c>
      <c r="AC98" t="str">
        <f t="shared" ca="1" si="16"/>
        <v>Active</v>
      </c>
    </row>
    <row r="99" spans="1:29" x14ac:dyDescent="0.3">
      <c r="A99" t="s">
        <v>368</v>
      </c>
      <c r="B99" t="s">
        <v>37</v>
      </c>
      <c r="C99">
        <v>30</v>
      </c>
      <c r="D99" t="s">
        <v>22</v>
      </c>
      <c r="E99" t="s">
        <v>106</v>
      </c>
      <c r="F99" t="s">
        <v>40</v>
      </c>
      <c r="G99" t="s">
        <v>25</v>
      </c>
      <c r="H99" t="s">
        <v>64</v>
      </c>
      <c r="I99" t="s">
        <v>102</v>
      </c>
      <c r="J99" t="s">
        <v>369</v>
      </c>
      <c r="K99">
        <v>5</v>
      </c>
      <c r="L99">
        <v>4220.21</v>
      </c>
      <c r="M99">
        <v>21101.05</v>
      </c>
      <c r="N99" t="s">
        <v>98</v>
      </c>
      <c r="O99" t="s">
        <v>30</v>
      </c>
      <c r="P99" t="s">
        <v>45</v>
      </c>
      <c r="Q99" t="s">
        <v>99</v>
      </c>
      <c r="R99" t="s">
        <v>33</v>
      </c>
      <c r="S99" t="s">
        <v>48</v>
      </c>
      <c r="T99" t="s">
        <v>160</v>
      </c>
      <c r="U99" t="str">
        <f t="shared" si="9"/>
        <v>26-35</v>
      </c>
      <c r="V99" t="str">
        <f t="shared" si="10"/>
        <v>October</v>
      </c>
      <c r="W99" t="str">
        <f t="shared" si="11"/>
        <v>Q4</v>
      </c>
      <c r="X99">
        <f t="shared" si="12"/>
        <v>2025</v>
      </c>
      <c r="Y99" t="str">
        <f t="shared" si="17"/>
        <v>High</v>
      </c>
      <c r="Z99" t="str">
        <f t="shared" si="13"/>
        <v>Discount Buyer</v>
      </c>
      <c r="AA99" t="str">
        <f t="shared" si="14"/>
        <v>VIP</v>
      </c>
      <c r="AB99" s="4">
        <f t="shared" ca="1" si="15"/>
        <v>128</v>
      </c>
      <c r="AC99" t="str">
        <f t="shared" ca="1" si="16"/>
        <v>At Risk</v>
      </c>
    </row>
    <row r="100" spans="1:29" x14ac:dyDescent="0.3">
      <c r="A100" t="s">
        <v>370</v>
      </c>
      <c r="B100" t="s">
        <v>159</v>
      </c>
      <c r="C100">
        <v>42</v>
      </c>
      <c r="D100" t="s">
        <v>38</v>
      </c>
      <c r="E100" t="s">
        <v>62</v>
      </c>
      <c r="F100" t="s">
        <v>53</v>
      </c>
      <c r="G100" t="s">
        <v>63</v>
      </c>
      <c r="H100" t="s">
        <v>129</v>
      </c>
      <c r="I100" t="s">
        <v>167</v>
      </c>
      <c r="J100" t="s">
        <v>371</v>
      </c>
      <c r="K100">
        <v>6</v>
      </c>
      <c r="L100">
        <v>725.06</v>
      </c>
      <c r="M100">
        <v>4350.3599999999997</v>
      </c>
      <c r="N100" t="s">
        <v>108</v>
      </c>
      <c r="O100" t="s">
        <v>44</v>
      </c>
      <c r="P100" t="s">
        <v>68</v>
      </c>
      <c r="Q100" t="s">
        <v>59</v>
      </c>
      <c r="R100" t="s">
        <v>47</v>
      </c>
      <c r="S100" t="s">
        <v>48</v>
      </c>
      <c r="T100" t="s">
        <v>187</v>
      </c>
      <c r="U100" t="str">
        <f t="shared" si="9"/>
        <v>36-45</v>
      </c>
      <c r="V100" t="str">
        <f t="shared" si="10"/>
        <v>January</v>
      </c>
      <c r="W100" t="str">
        <f t="shared" si="11"/>
        <v>Q1</v>
      </c>
      <c r="X100">
        <f t="shared" si="12"/>
        <v>2025</v>
      </c>
      <c r="Y100" t="str">
        <f t="shared" si="17"/>
        <v>High</v>
      </c>
      <c r="Z100" t="str">
        <f t="shared" si="13"/>
        <v>Regular Buyer</v>
      </c>
      <c r="AA100" t="str">
        <f t="shared" si="14"/>
        <v>Regular</v>
      </c>
      <c r="AB100" s="4">
        <f t="shared" ca="1" si="15"/>
        <v>430</v>
      </c>
      <c r="AC100" t="str">
        <f t="shared" ca="1" si="16"/>
        <v>Churn Risk</v>
      </c>
    </row>
    <row r="101" spans="1:29" x14ac:dyDescent="0.3">
      <c r="A101" t="s">
        <v>372</v>
      </c>
      <c r="B101" t="s">
        <v>71</v>
      </c>
      <c r="C101">
        <v>32</v>
      </c>
      <c r="D101" t="s">
        <v>38</v>
      </c>
      <c r="E101" t="s">
        <v>39</v>
      </c>
      <c r="F101" t="s">
        <v>40</v>
      </c>
      <c r="G101" t="s">
        <v>91</v>
      </c>
      <c r="H101" t="s">
        <v>55</v>
      </c>
      <c r="I101" t="s">
        <v>56</v>
      </c>
      <c r="J101" t="s">
        <v>373</v>
      </c>
      <c r="K101">
        <v>2</v>
      </c>
      <c r="L101">
        <v>1235.75</v>
      </c>
      <c r="M101">
        <v>2471.5</v>
      </c>
      <c r="N101" t="s">
        <v>67</v>
      </c>
      <c r="O101" t="s">
        <v>30</v>
      </c>
      <c r="P101" t="s">
        <v>31</v>
      </c>
      <c r="Q101" t="s">
        <v>32</v>
      </c>
      <c r="R101" t="s">
        <v>47</v>
      </c>
      <c r="S101" t="s">
        <v>34</v>
      </c>
      <c r="T101" t="s">
        <v>374</v>
      </c>
      <c r="U101" t="str">
        <f t="shared" si="9"/>
        <v>26-35</v>
      </c>
      <c r="V101" t="str">
        <f t="shared" si="10"/>
        <v>April</v>
      </c>
      <c r="W101" t="str">
        <f t="shared" si="11"/>
        <v>Q2</v>
      </c>
      <c r="X101">
        <f t="shared" si="12"/>
        <v>2025</v>
      </c>
      <c r="Y101" t="str">
        <f t="shared" si="17"/>
        <v>Medium</v>
      </c>
      <c r="Z101" t="str">
        <f t="shared" si="13"/>
        <v>Regular Buyer</v>
      </c>
      <c r="AA101" t="str">
        <f t="shared" si="14"/>
        <v>Regular</v>
      </c>
      <c r="AB101" s="4">
        <f t="shared" ca="1" si="15"/>
        <v>309</v>
      </c>
      <c r="AC101" t="str">
        <f t="shared" ca="1" si="16"/>
        <v>Churn Risk</v>
      </c>
    </row>
    <row r="102" spans="1:29" x14ac:dyDescent="0.3">
      <c r="A102" t="s">
        <v>375</v>
      </c>
      <c r="B102" t="s">
        <v>71</v>
      </c>
      <c r="C102">
        <v>27</v>
      </c>
      <c r="D102" t="s">
        <v>38</v>
      </c>
      <c r="E102" t="s">
        <v>23</v>
      </c>
      <c r="F102" t="s">
        <v>24</v>
      </c>
      <c r="G102" t="s">
        <v>72</v>
      </c>
      <c r="H102" t="s">
        <v>55</v>
      </c>
      <c r="I102" t="s">
        <v>122</v>
      </c>
      <c r="J102" t="s">
        <v>376</v>
      </c>
      <c r="K102">
        <v>7</v>
      </c>
      <c r="L102">
        <v>122.47</v>
      </c>
      <c r="M102">
        <v>857.29</v>
      </c>
      <c r="N102" t="s">
        <v>29</v>
      </c>
      <c r="O102" t="s">
        <v>44</v>
      </c>
      <c r="P102" t="s">
        <v>45</v>
      </c>
      <c r="Q102" t="s">
        <v>32</v>
      </c>
      <c r="R102" t="s">
        <v>47</v>
      </c>
      <c r="S102" t="s">
        <v>83</v>
      </c>
      <c r="T102" t="s">
        <v>267</v>
      </c>
      <c r="U102" t="str">
        <f t="shared" si="9"/>
        <v>26-35</v>
      </c>
      <c r="V102" t="str">
        <f t="shared" si="10"/>
        <v>June</v>
      </c>
      <c r="W102" t="str">
        <f t="shared" si="11"/>
        <v>Q2</v>
      </c>
      <c r="X102">
        <f t="shared" si="12"/>
        <v>2025</v>
      </c>
      <c r="Y102" t="str">
        <f t="shared" si="17"/>
        <v>Medium</v>
      </c>
      <c r="Z102" t="str">
        <f t="shared" si="13"/>
        <v>Regular Buyer</v>
      </c>
      <c r="AA102" t="str">
        <f t="shared" si="14"/>
        <v>Regular</v>
      </c>
      <c r="AB102" s="4">
        <f t="shared" ca="1" si="15"/>
        <v>300</v>
      </c>
      <c r="AC102" t="str">
        <f t="shared" ca="1" si="16"/>
        <v>Churn Risk</v>
      </c>
    </row>
    <row r="103" spans="1:29" x14ac:dyDescent="0.3">
      <c r="A103" t="s">
        <v>377</v>
      </c>
      <c r="B103" t="s">
        <v>37</v>
      </c>
      <c r="C103">
        <v>46</v>
      </c>
      <c r="D103" t="s">
        <v>22</v>
      </c>
      <c r="E103" t="s">
        <v>23</v>
      </c>
      <c r="F103" t="s">
        <v>24</v>
      </c>
      <c r="G103" t="s">
        <v>72</v>
      </c>
      <c r="H103" t="s">
        <v>55</v>
      </c>
      <c r="I103" t="s">
        <v>96</v>
      </c>
      <c r="J103" t="s">
        <v>168</v>
      </c>
      <c r="K103">
        <v>7</v>
      </c>
      <c r="L103">
        <v>1807.02</v>
      </c>
      <c r="M103">
        <v>12649.14</v>
      </c>
      <c r="N103" t="s">
        <v>67</v>
      </c>
      <c r="O103" t="s">
        <v>44</v>
      </c>
      <c r="P103" t="s">
        <v>45</v>
      </c>
      <c r="Q103" t="s">
        <v>99</v>
      </c>
      <c r="R103" t="s">
        <v>33</v>
      </c>
      <c r="S103" t="s">
        <v>48</v>
      </c>
      <c r="T103" t="s">
        <v>293</v>
      </c>
      <c r="U103" t="str">
        <f t="shared" si="9"/>
        <v>46-55</v>
      </c>
      <c r="V103" t="str">
        <f t="shared" si="10"/>
        <v>September</v>
      </c>
      <c r="W103" t="str">
        <f t="shared" si="11"/>
        <v>Q3</v>
      </c>
      <c r="X103">
        <f t="shared" si="12"/>
        <v>2025</v>
      </c>
      <c r="Y103" t="str">
        <f t="shared" si="17"/>
        <v>Low</v>
      </c>
      <c r="Z103" t="str">
        <f t="shared" si="13"/>
        <v>Discount Buyer</v>
      </c>
      <c r="AA103" t="str">
        <f t="shared" si="14"/>
        <v>VIP</v>
      </c>
      <c r="AB103" s="4">
        <f t="shared" ca="1" si="15"/>
        <v>172</v>
      </c>
      <c r="AC103" t="str">
        <f t="shared" ca="1" si="16"/>
        <v>At Risk</v>
      </c>
    </row>
    <row r="104" spans="1:29" x14ac:dyDescent="0.3">
      <c r="A104" t="s">
        <v>378</v>
      </c>
      <c r="B104" t="s">
        <v>77</v>
      </c>
      <c r="C104">
        <v>30</v>
      </c>
      <c r="D104" t="s">
        <v>38</v>
      </c>
      <c r="E104" t="s">
        <v>23</v>
      </c>
      <c r="F104" t="s">
        <v>24</v>
      </c>
      <c r="G104" t="s">
        <v>72</v>
      </c>
      <c r="H104" t="s">
        <v>115</v>
      </c>
      <c r="I104" t="s">
        <v>176</v>
      </c>
      <c r="J104" t="s">
        <v>379</v>
      </c>
      <c r="K104">
        <v>3</v>
      </c>
      <c r="L104">
        <v>1463.13</v>
      </c>
      <c r="M104">
        <v>4389.3900000000003</v>
      </c>
      <c r="N104" t="s">
        <v>58</v>
      </c>
      <c r="O104" t="s">
        <v>30</v>
      </c>
      <c r="P104" t="s">
        <v>45</v>
      </c>
      <c r="Q104" t="s">
        <v>46</v>
      </c>
      <c r="R104" t="s">
        <v>47</v>
      </c>
      <c r="S104" t="s">
        <v>34</v>
      </c>
      <c r="T104" t="s">
        <v>380</v>
      </c>
      <c r="U104" t="str">
        <f t="shared" si="9"/>
        <v>26-35</v>
      </c>
      <c r="V104" t="str">
        <f t="shared" si="10"/>
        <v>April</v>
      </c>
      <c r="W104" t="str">
        <f t="shared" si="11"/>
        <v>Q2</v>
      </c>
      <c r="X104">
        <f t="shared" si="12"/>
        <v>2025</v>
      </c>
      <c r="Y104" t="str">
        <f t="shared" si="17"/>
        <v>High</v>
      </c>
      <c r="Z104" t="str">
        <f t="shared" si="13"/>
        <v>Regular Buyer</v>
      </c>
      <c r="AA104" t="str">
        <f t="shared" si="14"/>
        <v>Regular</v>
      </c>
      <c r="AB104" s="4">
        <f t="shared" ca="1" si="15"/>
        <v>344</v>
      </c>
      <c r="AC104" t="str">
        <f t="shared" ca="1" si="16"/>
        <v>Churn Risk</v>
      </c>
    </row>
    <row r="105" spans="1:29" x14ac:dyDescent="0.3">
      <c r="A105" t="s">
        <v>381</v>
      </c>
      <c r="B105" t="s">
        <v>159</v>
      </c>
      <c r="C105">
        <v>22</v>
      </c>
      <c r="D105" t="s">
        <v>38</v>
      </c>
      <c r="E105" t="s">
        <v>78</v>
      </c>
      <c r="F105" t="s">
        <v>79</v>
      </c>
      <c r="G105" t="s">
        <v>25</v>
      </c>
      <c r="H105" t="s">
        <v>26</v>
      </c>
      <c r="I105" t="s">
        <v>136</v>
      </c>
      <c r="J105" t="s">
        <v>382</v>
      </c>
      <c r="K105">
        <v>8</v>
      </c>
      <c r="L105">
        <v>3886.07</v>
      </c>
      <c r="M105">
        <v>31088.560000000001</v>
      </c>
      <c r="N105" t="s">
        <v>58</v>
      </c>
      <c r="O105" t="s">
        <v>44</v>
      </c>
      <c r="P105" t="s">
        <v>74</v>
      </c>
      <c r="Q105" t="s">
        <v>59</v>
      </c>
      <c r="R105" t="s">
        <v>47</v>
      </c>
      <c r="S105" t="s">
        <v>83</v>
      </c>
      <c r="T105" t="s">
        <v>383</v>
      </c>
      <c r="U105" t="str">
        <f t="shared" si="9"/>
        <v>18-25</v>
      </c>
      <c r="V105" t="str">
        <f t="shared" si="10"/>
        <v>March</v>
      </c>
      <c r="W105" t="str">
        <f t="shared" si="11"/>
        <v>Q1</v>
      </c>
      <c r="X105">
        <f t="shared" si="12"/>
        <v>2025</v>
      </c>
      <c r="Y105" t="str">
        <f t="shared" si="17"/>
        <v>Medium</v>
      </c>
      <c r="Z105" t="str">
        <f t="shared" si="13"/>
        <v>Regular Buyer</v>
      </c>
      <c r="AA105" t="str">
        <f t="shared" si="14"/>
        <v>VIP</v>
      </c>
      <c r="AB105" s="4">
        <f t="shared" ca="1" si="15"/>
        <v>439</v>
      </c>
      <c r="AC105" t="str">
        <f t="shared" ca="1" si="16"/>
        <v>Churn Risk</v>
      </c>
    </row>
    <row r="106" spans="1:29" x14ac:dyDescent="0.3">
      <c r="A106" t="s">
        <v>384</v>
      </c>
      <c r="B106" t="s">
        <v>120</v>
      </c>
      <c r="C106">
        <v>51</v>
      </c>
      <c r="D106" t="s">
        <v>38</v>
      </c>
      <c r="E106" t="s">
        <v>163</v>
      </c>
      <c r="F106" t="s">
        <v>135</v>
      </c>
      <c r="G106" t="s">
        <v>54</v>
      </c>
      <c r="H106" t="s">
        <v>115</v>
      </c>
      <c r="I106" t="s">
        <v>116</v>
      </c>
      <c r="J106" t="s">
        <v>385</v>
      </c>
      <c r="K106">
        <v>5</v>
      </c>
      <c r="L106">
        <v>1684.9</v>
      </c>
      <c r="M106">
        <v>8424.5</v>
      </c>
      <c r="N106" t="s">
        <v>98</v>
      </c>
      <c r="O106" t="s">
        <v>30</v>
      </c>
      <c r="P106" t="s">
        <v>31</v>
      </c>
      <c r="Q106" t="s">
        <v>46</v>
      </c>
      <c r="R106" t="s">
        <v>33</v>
      </c>
      <c r="S106" t="s">
        <v>48</v>
      </c>
      <c r="T106" t="s">
        <v>349</v>
      </c>
      <c r="U106" t="str">
        <f t="shared" si="9"/>
        <v>46-55</v>
      </c>
      <c r="V106" t="str">
        <f t="shared" si="10"/>
        <v>December</v>
      </c>
      <c r="W106" t="str">
        <f t="shared" si="11"/>
        <v>Q4</v>
      </c>
      <c r="X106">
        <f t="shared" si="12"/>
        <v>2025</v>
      </c>
      <c r="Y106" t="str">
        <f t="shared" si="17"/>
        <v>High</v>
      </c>
      <c r="Z106" t="str">
        <f t="shared" si="13"/>
        <v>Discount Buyer</v>
      </c>
      <c r="AA106" t="str">
        <f t="shared" si="14"/>
        <v>Premium</v>
      </c>
      <c r="AB106" s="4">
        <f t="shared" ca="1" si="15"/>
        <v>138</v>
      </c>
      <c r="AC106" t="str">
        <f t="shared" ca="1" si="16"/>
        <v>At Risk</v>
      </c>
    </row>
    <row r="107" spans="1:29" x14ac:dyDescent="0.3">
      <c r="A107" t="s">
        <v>386</v>
      </c>
      <c r="B107" t="s">
        <v>111</v>
      </c>
      <c r="C107">
        <v>46</v>
      </c>
      <c r="D107" t="s">
        <v>22</v>
      </c>
      <c r="E107" t="s">
        <v>62</v>
      </c>
      <c r="F107" t="s">
        <v>53</v>
      </c>
      <c r="G107" t="s">
        <v>25</v>
      </c>
      <c r="H107" t="s">
        <v>115</v>
      </c>
      <c r="I107" t="s">
        <v>116</v>
      </c>
      <c r="J107" t="s">
        <v>290</v>
      </c>
      <c r="K107">
        <v>8</v>
      </c>
      <c r="L107">
        <v>4998.96</v>
      </c>
      <c r="M107">
        <v>39991.68</v>
      </c>
      <c r="N107" t="s">
        <v>98</v>
      </c>
      <c r="O107" t="s">
        <v>30</v>
      </c>
      <c r="P107" t="s">
        <v>45</v>
      </c>
      <c r="Q107" t="s">
        <v>46</v>
      </c>
      <c r="R107" t="s">
        <v>47</v>
      </c>
      <c r="S107" t="s">
        <v>34</v>
      </c>
      <c r="T107" t="s">
        <v>387</v>
      </c>
      <c r="U107" t="str">
        <f t="shared" si="9"/>
        <v>46-55</v>
      </c>
      <c r="V107" t="str">
        <f t="shared" si="10"/>
        <v>November</v>
      </c>
      <c r="W107" t="str">
        <f t="shared" si="11"/>
        <v>Q4</v>
      </c>
      <c r="X107">
        <f t="shared" si="12"/>
        <v>2025</v>
      </c>
      <c r="Y107" t="str">
        <f t="shared" si="17"/>
        <v>High</v>
      </c>
      <c r="Z107" t="str">
        <f t="shared" si="13"/>
        <v>Regular Buyer</v>
      </c>
      <c r="AA107" t="str">
        <f t="shared" si="14"/>
        <v>VIP</v>
      </c>
      <c r="AB107" s="4">
        <f t="shared" ca="1" si="15"/>
        <v>101</v>
      </c>
      <c r="AC107" t="str">
        <f t="shared" ca="1" si="16"/>
        <v>At Risk</v>
      </c>
    </row>
    <row r="108" spans="1:29" x14ac:dyDescent="0.3">
      <c r="A108" t="s">
        <v>388</v>
      </c>
      <c r="B108" t="s">
        <v>111</v>
      </c>
      <c r="C108">
        <v>42</v>
      </c>
      <c r="D108" t="s">
        <v>38</v>
      </c>
      <c r="E108" t="s">
        <v>87</v>
      </c>
      <c r="F108" t="s">
        <v>79</v>
      </c>
      <c r="G108" t="s">
        <v>91</v>
      </c>
      <c r="H108" t="s">
        <v>115</v>
      </c>
      <c r="I108" t="s">
        <v>116</v>
      </c>
      <c r="J108" t="s">
        <v>389</v>
      </c>
      <c r="K108">
        <v>3</v>
      </c>
      <c r="L108">
        <v>4313.2700000000004</v>
      </c>
      <c r="M108">
        <v>12939.81</v>
      </c>
      <c r="N108" t="s">
        <v>98</v>
      </c>
      <c r="O108" t="s">
        <v>44</v>
      </c>
      <c r="P108" t="s">
        <v>31</v>
      </c>
      <c r="Q108" t="s">
        <v>46</v>
      </c>
      <c r="R108" t="s">
        <v>33</v>
      </c>
      <c r="S108" t="s">
        <v>34</v>
      </c>
      <c r="T108" t="s">
        <v>390</v>
      </c>
      <c r="U108" t="str">
        <f t="shared" si="9"/>
        <v>36-45</v>
      </c>
      <c r="V108" t="str">
        <f t="shared" si="10"/>
        <v>March</v>
      </c>
      <c r="W108" t="str">
        <f t="shared" si="11"/>
        <v>Q1</v>
      </c>
      <c r="X108">
        <f t="shared" si="12"/>
        <v>2026</v>
      </c>
      <c r="Y108" t="str">
        <f t="shared" si="17"/>
        <v>High</v>
      </c>
      <c r="Z108" t="str">
        <f t="shared" si="13"/>
        <v>Discount Buyer</v>
      </c>
      <c r="AA108" t="str">
        <f t="shared" si="14"/>
        <v>VIP</v>
      </c>
      <c r="AB108" s="4">
        <f t="shared" ca="1" si="15"/>
        <v>13</v>
      </c>
      <c r="AC108" t="str">
        <f t="shared" ca="1" si="16"/>
        <v>Active</v>
      </c>
    </row>
    <row r="109" spans="1:29" x14ac:dyDescent="0.3">
      <c r="A109" t="s">
        <v>391</v>
      </c>
      <c r="B109" t="s">
        <v>71</v>
      </c>
      <c r="C109">
        <v>55</v>
      </c>
      <c r="D109" t="s">
        <v>22</v>
      </c>
      <c r="E109" t="s">
        <v>163</v>
      </c>
      <c r="F109" t="s">
        <v>135</v>
      </c>
      <c r="G109" t="s">
        <v>72</v>
      </c>
      <c r="H109" t="s">
        <v>64</v>
      </c>
      <c r="I109" t="s">
        <v>102</v>
      </c>
      <c r="J109" t="s">
        <v>392</v>
      </c>
      <c r="K109">
        <v>7</v>
      </c>
      <c r="L109">
        <v>2401.41</v>
      </c>
      <c r="M109">
        <v>16809.87</v>
      </c>
      <c r="N109" t="s">
        <v>58</v>
      </c>
      <c r="O109" t="s">
        <v>30</v>
      </c>
      <c r="P109" t="s">
        <v>68</v>
      </c>
      <c r="Q109" t="s">
        <v>99</v>
      </c>
      <c r="R109" t="s">
        <v>33</v>
      </c>
      <c r="S109" t="s">
        <v>83</v>
      </c>
      <c r="T109" t="s">
        <v>347</v>
      </c>
      <c r="U109" t="str">
        <f t="shared" si="9"/>
        <v>46-55</v>
      </c>
      <c r="V109" t="str">
        <f t="shared" si="10"/>
        <v>October</v>
      </c>
      <c r="W109" t="str">
        <f t="shared" si="11"/>
        <v>Q4</v>
      </c>
      <c r="X109">
        <f t="shared" si="12"/>
        <v>2025</v>
      </c>
      <c r="Y109" t="str">
        <f t="shared" si="17"/>
        <v>High</v>
      </c>
      <c r="Z109" t="str">
        <f t="shared" si="13"/>
        <v>Discount Buyer</v>
      </c>
      <c r="AA109" t="str">
        <f t="shared" si="14"/>
        <v>VIP</v>
      </c>
      <c r="AB109" s="4">
        <f t="shared" ca="1" si="15"/>
        <v>193</v>
      </c>
      <c r="AC109" t="str">
        <f t="shared" ca="1" si="16"/>
        <v>Churn Risk</v>
      </c>
    </row>
    <row r="110" spans="1:29" x14ac:dyDescent="0.3">
      <c r="A110" t="s">
        <v>393</v>
      </c>
      <c r="B110" t="s">
        <v>71</v>
      </c>
      <c r="C110">
        <v>21</v>
      </c>
      <c r="D110" t="s">
        <v>22</v>
      </c>
      <c r="E110" t="s">
        <v>78</v>
      </c>
      <c r="F110" t="s">
        <v>79</v>
      </c>
      <c r="G110" t="s">
        <v>152</v>
      </c>
      <c r="H110" t="s">
        <v>26</v>
      </c>
      <c r="I110" t="s">
        <v>140</v>
      </c>
      <c r="J110" t="s">
        <v>394</v>
      </c>
      <c r="K110">
        <v>1</v>
      </c>
      <c r="L110">
        <v>3554.67</v>
      </c>
      <c r="M110">
        <v>3554.67</v>
      </c>
      <c r="N110" t="s">
        <v>108</v>
      </c>
      <c r="O110" t="s">
        <v>30</v>
      </c>
      <c r="P110" t="s">
        <v>74</v>
      </c>
      <c r="Q110" t="s">
        <v>99</v>
      </c>
      <c r="R110" t="s">
        <v>33</v>
      </c>
      <c r="S110" t="s">
        <v>34</v>
      </c>
      <c r="T110" t="s">
        <v>395</v>
      </c>
      <c r="U110" t="str">
        <f t="shared" si="9"/>
        <v>18-25</v>
      </c>
      <c r="V110" t="str">
        <f t="shared" si="10"/>
        <v>August</v>
      </c>
      <c r="W110" t="str">
        <f t="shared" si="11"/>
        <v>Q3</v>
      </c>
      <c r="X110">
        <f t="shared" si="12"/>
        <v>2025</v>
      </c>
      <c r="Y110" t="str">
        <f t="shared" si="17"/>
        <v>High</v>
      </c>
      <c r="Z110" t="str">
        <f t="shared" si="13"/>
        <v>Discount Buyer</v>
      </c>
      <c r="AA110" t="str">
        <f t="shared" si="14"/>
        <v>Regular</v>
      </c>
      <c r="AB110" s="4">
        <f t="shared" ca="1" si="15"/>
        <v>181</v>
      </c>
      <c r="AC110" t="str">
        <f t="shared" ca="1" si="16"/>
        <v>Churn Risk</v>
      </c>
    </row>
    <row r="111" spans="1:29" x14ac:dyDescent="0.3">
      <c r="A111" t="s">
        <v>396</v>
      </c>
      <c r="B111" t="s">
        <v>86</v>
      </c>
      <c r="C111">
        <v>35</v>
      </c>
      <c r="D111" t="s">
        <v>22</v>
      </c>
      <c r="E111" t="s">
        <v>39</v>
      </c>
      <c r="F111" t="s">
        <v>40</v>
      </c>
      <c r="G111" t="s">
        <v>72</v>
      </c>
      <c r="H111" t="s">
        <v>26</v>
      </c>
      <c r="I111" t="s">
        <v>140</v>
      </c>
      <c r="J111" t="s">
        <v>296</v>
      </c>
      <c r="K111">
        <v>3</v>
      </c>
      <c r="L111">
        <v>4360.91</v>
      </c>
      <c r="M111">
        <v>13082.73</v>
      </c>
      <c r="N111" t="s">
        <v>108</v>
      </c>
      <c r="O111" t="s">
        <v>30</v>
      </c>
      <c r="P111" t="s">
        <v>45</v>
      </c>
      <c r="Q111" t="s">
        <v>46</v>
      </c>
      <c r="R111" t="s">
        <v>33</v>
      </c>
      <c r="S111" t="s">
        <v>48</v>
      </c>
      <c r="T111" t="s">
        <v>397</v>
      </c>
      <c r="U111" t="str">
        <f t="shared" si="9"/>
        <v>26-35</v>
      </c>
      <c r="V111" t="str">
        <f t="shared" si="10"/>
        <v>September</v>
      </c>
      <c r="W111" t="str">
        <f t="shared" si="11"/>
        <v>Q3</v>
      </c>
      <c r="X111">
        <f t="shared" si="12"/>
        <v>2025</v>
      </c>
      <c r="Y111" t="str">
        <f t="shared" si="17"/>
        <v>Medium</v>
      </c>
      <c r="Z111" t="str">
        <f t="shared" si="13"/>
        <v>Discount Buyer</v>
      </c>
      <c r="AA111" t="str">
        <f t="shared" si="14"/>
        <v>VIP</v>
      </c>
      <c r="AB111" s="4">
        <f t="shared" ca="1" si="15"/>
        <v>209</v>
      </c>
      <c r="AC111" t="str">
        <f t="shared" ca="1" si="16"/>
        <v>Churn Risk</v>
      </c>
    </row>
    <row r="112" spans="1:29" x14ac:dyDescent="0.3">
      <c r="A112" t="s">
        <v>398</v>
      </c>
      <c r="B112" t="s">
        <v>95</v>
      </c>
      <c r="C112">
        <v>45</v>
      </c>
      <c r="D112" t="s">
        <v>22</v>
      </c>
      <c r="E112" t="s">
        <v>78</v>
      </c>
      <c r="F112" t="s">
        <v>79</v>
      </c>
      <c r="G112" t="s">
        <v>63</v>
      </c>
      <c r="H112" t="s">
        <v>55</v>
      </c>
      <c r="I112" t="s">
        <v>122</v>
      </c>
      <c r="J112" t="s">
        <v>399</v>
      </c>
      <c r="K112">
        <v>3</v>
      </c>
      <c r="L112">
        <v>750.43</v>
      </c>
      <c r="M112">
        <v>2251.29</v>
      </c>
      <c r="N112" t="s">
        <v>58</v>
      </c>
      <c r="O112" t="s">
        <v>30</v>
      </c>
      <c r="P112" t="s">
        <v>45</v>
      </c>
      <c r="Q112" t="s">
        <v>99</v>
      </c>
      <c r="R112" t="s">
        <v>33</v>
      </c>
      <c r="S112" t="s">
        <v>83</v>
      </c>
      <c r="T112" t="s">
        <v>400</v>
      </c>
      <c r="U112" t="str">
        <f t="shared" si="9"/>
        <v>36-45</v>
      </c>
      <c r="V112" t="str">
        <f t="shared" si="10"/>
        <v>December</v>
      </c>
      <c r="W112" t="str">
        <f t="shared" si="11"/>
        <v>Q4</v>
      </c>
      <c r="X112">
        <f t="shared" si="12"/>
        <v>2025</v>
      </c>
      <c r="Y112" t="str">
        <f t="shared" si="17"/>
        <v>High</v>
      </c>
      <c r="Z112" t="str">
        <f t="shared" si="13"/>
        <v>Discount Buyer</v>
      </c>
      <c r="AA112" t="str">
        <f t="shared" si="14"/>
        <v>Regular</v>
      </c>
      <c r="AB112" s="4">
        <f t="shared" ca="1" si="15"/>
        <v>161</v>
      </c>
      <c r="AC112" t="str">
        <f t="shared" ca="1" si="16"/>
        <v>At Risk</v>
      </c>
    </row>
    <row r="113" spans="1:29" x14ac:dyDescent="0.3">
      <c r="A113" t="s">
        <v>401</v>
      </c>
      <c r="B113" t="s">
        <v>159</v>
      </c>
      <c r="C113">
        <v>40</v>
      </c>
      <c r="D113" t="s">
        <v>38</v>
      </c>
      <c r="E113" t="s">
        <v>52</v>
      </c>
      <c r="F113" t="s">
        <v>53</v>
      </c>
      <c r="G113" t="s">
        <v>152</v>
      </c>
      <c r="H113" t="s">
        <v>55</v>
      </c>
      <c r="I113" t="s">
        <v>56</v>
      </c>
      <c r="J113" t="s">
        <v>402</v>
      </c>
      <c r="K113">
        <v>6</v>
      </c>
      <c r="L113">
        <v>3114.13</v>
      </c>
      <c r="M113">
        <v>18684.78</v>
      </c>
      <c r="N113" t="s">
        <v>98</v>
      </c>
      <c r="O113" t="s">
        <v>30</v>
      </c>
      <c r="P113" t="s">
        <v>45</v>
      </c>
      <c r="Q113" t="s">
        <v>59</v>
      </c>
      <c r="R113" t="s">
        <v>33</v>
      </c>
      <c r="S113" t="s">
        <v>142</v>
      </c>
      <c r="T113" t="s">
        <v>403</v>
      </c>
      <c r="U113" t="str">
        <f t="shared" si="9"/>
        <v>36-45</v>
      </c>
      <c r="V113" t="str">
        <f t="shared" si="10"/>
        <v>August</v>
      </c>
      <c r="W113" t="str">
        <f t="shared" si="11"/>
        <v>Q3</v>
      </c>
      <c r="X113">
        <f t="shared" si="12"/>
        <v>2025</v>
      </c>
      <c r="Y113" t="str">
        <f t="shared" si="17"/>
        <v>Medium</v>
      </c>
      <c r="Z113" t="str">
        <f t="shared" si="13"/>
        <v>Discount Buyer</v>
      </c>
      <c r="AA113" t="str">
        <f t="shared" si="14"/>
        <v>VIP</v>
      </c>
      <c r="AB113" s="4">
        <f t="shared" ca="1" si="15"/>
        <v>281</v>
      </c>
      <c r="AC113" t="str">
        <f t="shared" ca="1" si="16"/>
        <v>Churn Risk</v>
      </c>
    </row>
    <row r="114" spans="1:29" x14ac:dyDescent="0.3">
      <c r="A114" t="s">
        <v>404</v>
      </c>
      <c r="B114" t="s">
        <v>77</v>
      </c>
      <c r="C114">
        <v>42</v>
      </c>
      <c r="D114" t="s">
        <v>22</v>
      </c>
      <c r="E114" t="s">
        <v>163</v>
      </c>
      <c r="F114" t="s">
        <v>135</v>
      </c>
      <c r="G114" t="s">
        <v>80</v>
      </c>
      <c r="H114" t="s">
        <v>115</v>
      </c>
      <c r="I114" t="s">
        <v>176</v>
      </c>
      <c r="J114" t="s">
        <v>365</v>
      </c>
      <c r="K114">
        <v>4</v>
      </c>
      <c r="L114">
        <v>130.25</v>
      </c>
      <c r="M114">
        <v>521</v>
      </c>
      <c r="N114" t="s">
        <v>98</v>
      </c>
      <c r="O114" t="s">
        <v>44</v>
      </c>
      <c r="P114" t="s">
        <v>74</v>
      </c>
      <c r="Q114" t="s">
        <v>59</v>
      </c>
      <c r="R114" t="s">
        <v>33</v>
      </c>
      <c r="S114" t="s">
        <v>142</v>
      </c>
      <c r="T114" t="s">
        <v>405</v>
      </c>
      <c r="U114" t="str">
        <f t="shared" si="9"/>
        <v>36-45</v>
      </c>
      <c r="V114" t="str">
        <f t="shared" si="10"/>
        <v>November</v>
      </c>
      <c r="W114" t="str">
        <f t="shared" si="11"/>
        <v>Q4</v>
      </c>
      <c r="X114">
        <f t="shared" si="12"/>
        <v>2025</v>
      </c>
      <c r="Y114" t="str">
        <f t="shared" si="17"/>
        <v>High</v>
      </c>
      <c r="Z114" t="str">
        <f t="shared" si="13"/>
        <v>Discount Buyer</v>
      </c>
      <c r="AA114" t="str">
        <f t="shared" si="14"/>
        <v>Regular</v>
      </c>
      <c r="AB114" s="4">
        <f t="shared" ca="1" si="15"/>
        <v>135</v>
      </c>
      <c r="AC114" t="str">
        <f t="shared" ca="1" si="16"/>
        <v>At Risk</v>
      </c>
    </row>
    <row r="115" spans="1:29" x14ac:dyDescent="0.3">
      <c r="A115" t="s">
        <v>406</v>
      </c>
      <c r="B115" t="s">
        <v>120</v>
      </c>
      <c r="C115">
        <v>44</v>
      </c>
      <c r="D115" t="s">
        <v>22</v>
      </c>
      <c r="E115" t="s">
        <v>39</v>
      </c>
      <c r="F115" t="s">
        <v>40</v>
      </c>
      <c r="G115" t="s">
        <v>80</v>
      </c>
      <c r="H115" t="s">
        <v>55</v>
      </c>
      <c r="I115" t="s">
        <v>56</v>
      </c>
      <c r="J115" t="s">
        <v>407</v>
      </c>
      <c r="K115">
        <v>5</v>
      </c>
      <c r="L115">
        <v>759.62</v>
      </c>
      <c r="M115">
        <v>3798.1</v>
      </c>
      <c r="N115" t="s">
        <v>108</v>
      </c>
      <c r="O115" t="s">
        <v>30</v>
      </c>
      <c r="P115" t="s">
        <v>45</v>
      </c>
      <c r="Q115" t="s">
        <v>46</v>
      </c>
      <c r="R115" t="s">
        <v>33</v>
      </c>
      <c r="S115" t="s">
        <v>48</v>
      </c>
      <c r="T115" t="s">
        <v>408</v>
      </c>
      <c r="U115" t="str">
        <f t="shared" si="9"/>
        <v>36-45</v>
      </c>
      <c r="V115" t="str">
        <f t="shared" si="10"/>
        <v>June</v>
      </c>
      <c r="W115" t="str">
        <f t="shared" si="11"/>
        <v>Q2</v>
      </c>
      <c r="X115">
        <f t="shared" si="12"/>
        <v>2025</v>
      </c>
      <c r="Y115" t="str">
        <f t="shared" si="17"/>
        <v>Low</v>
      </c>
      <c r="Z115" t="str">
        <f t="shared" si="13"/>
        <v>Discount Buyer</v>
      </c>
      <c r="AA115" t="str">
        <f t="shared" si="14"/>
        <v>Regular</v>
      </c>
      <c r="AB115" s="4">
        <f t="shared" ca="1" si="15"/>
        <v>322</v>
      </c>
      <c r="AC115" t="str">
        <f t="shared" ca="1" si="16"/>
        <v>Churn Risk</v>
      </c>
    </row>
    <row r="116" spans="1:29" x14ac:dyDescent="0.3">
      <c r="A116" t="s">
        <v>409</v>
      </c>
      <c r="B116" t="s">
        <v>111</v>
      </c>
      <c r="C116">
        <v>44</v>
      </c>
      <c r="D116" t="s">
        <v>38</v>
      </c>
      <c r="E116" t="s">
        <v>106</v>
      </c>
      <c r="F116" t="s">
        <v>40</v>
      </c>
      <c r="G116" t="s">
        <v>54</v>
      </c>
      <c r="H116" t="s">
        <v>129</v>
      </c>
      <c r="I116" t="s">
        <v>148</v>
      </c>
      <c r="J116" t="s">
        <v>362</v>
      </c>
      <c r="K116">
        <v>8</v>
      </c>
      <c r="L116">
        <v>1171.0899999999999</v>
      </c>
      <c r="M116">
        <v>9368.7199999999993</v>
      </c>
      <c r="N116" t="s">
        <v>58</v>
      </c>
      <c r="O116" t="s">
        <v>30</v>
      </c>
      <c r="P116" t="s">
        <v>68</v>
      </c>
      <c r="Q116" t="s">
        <v>32</v>
      </c>
      <c r="R116" t="s">
        <v>33</v>
      </c>
      <c r="S116" t="s">
        <v>83</v>
      </c>
      <c r="T116" t="s">
        <v>132</v>
      </c>
      <c r="U116" t="str">
        <f t="shared" si="9"/>
        <v>36-45</v>
      </c>
      <c r="V116" t="str">
        <f t="shared" si="10"/>
        <v>January</v>
      </c>
      <c r="W116" t="str">
        <f t="shared" si="11"/>
        <v>Q1</v>
      </c>
      <c r="X116">
        <f t="shared" si="12"/>
        <v>2025</v>
      </c>
      <c r="Y116" t="str">
        <f t="shared" si="17"/>
        <v>Medium</v>
      </c>
      <c r="Z116" t="str">
        <f t="shared" si="13"/>
        <v>Discount Buyer</v>
      </c>
      <c r="AA116" t="str">
        <f t="shared" si="14"/>
        <v>Premium</v>
      </c>
      <c r="AB116" s="4">
        <f t="shared" ca="1" si="15"/>
        <v>392</v>
      </c>
      <c r="AC116" t="str">
        <f t="shared" ca="1" si="16"/>
        <v>Churn Risk</v>
      </c>
    </row>
    <row r="117" spans="1:29" x14ac:dyDescent="0.3">
      <c r="A117" t="s">
        <v>410</v>
      </c>
      <c r="B117" t="s">
        <v>95</v>
      </c>
      <c r="C117">
        <v>40</v>
      </c>
      <c r="D117" t="s">
        <v>38</v>
      </c>
      <c r="E117" t="s">
        <v>87</v>
      </c>
      <c r="F117" t="s">
        <v>79</v>
      </c>
      <c r="G117" t="s">
        <v>25</v>
      </c>
      <c r="H117" t="s">
        <v>64</v>
      </c>
      <c r="I117" t="s">
        <v>65</v>
      </c>
      <c r="J117" t="s">
        <v>150</v>
      </c>
      <c r="K117">
        <v>1</v>
      </c>
      <c r="L117">
        <v>3499.46</v>
      </c>
      <c r="M117">
        <v>3499.46</v>
      </c>
      <c r="N117" t="s">
        <v>108</v>
      </c>
      <c r="O117" t="s">
        <v>30</v>
      </c>
      <c r="P117" t="s">
        <v>74</v>
      </c>
      <c r="Q117" t="s">
        <v>46</v>
      </c>
      <c r="R117" t="s">
        <v>33</v>
      </c>
      <c r="S117" t="s">
        <v>83</v>
      </c>
      <c r="T117" t="s">
        <v>209</v>
      </c>
      <c r="U117" t="str">
        <f t="shared" si="9"/>
        <v>36-45</v>
      </c>
      <c r="V117" t="str">
        <f t="shared" si="10"/>
        <v>January</v>
      </c>
      <c r="W117" t="str">
        <f t="shared" si="11"/>
        <v>Q1</v>
      </c>
      <c r="X117">
        <f t="shared" si="12"/>
        <v>2026</v>
      </c>
      <c r="Y117" t="str">
        <f t="shared" si="17"/>
        <v>High</v>
      </c>
      <c r="Z117" t="str">
        <f t="shared" si="13"/>
        <v>Discount Buyer</v>
      </c>
      <c r="AA117" t="str">
        <f t="shared" si="14"/>
        <v>Regular</v>
      </c>
      <c r="AB117" s="4">
        <f t="shared" ca="1" si="15"/>
        <v>17</v>
      </c>
      <c r="AC117" t="str">
        <f t="shared" ca="1" si="16"/>
        <v>Active</v>
      </c>
    </row>
    <row r="118" spans="1:29" x14ac:dyDescent="0.3">
      <c r="A118" t="s">
        <v>411</v>
      </c>
      <c r="B118" t="s">
        <v>95</v>
      </c>
      <c r="C118">
        <v>43</v>
      </c>
      <c r="D118" t="s">
        <v>22</v>
      </c>
      <c r="E118" t="s">
        <v>121</v>
      </c>
      <c r="F118" t="s">
        <v>24</v>
      </c>
      <c r="G118" t="s">
        <v>80</v>
      </c>
      <c r="H118" t="s">
        <v>115</v>
      </c>
      <c r="I118" t="s">
        <v>176</v>
      </c>
      <c r="J118" t="s">
        <v>412</v>
      </c>
      <c r="K118">
        <v>6</v>
      </c>
      <c r="L118">
        <v>1520.04</v>
      </c>
      <c r="M118">
        <v>9120.24</v>
      </c>
      <c r="N118" t="s">
        <v>98</v>
      </c>
      <c r="O118" t="s">
        <v>44</v>
      </c>
      <c r="P118" t="s">
        <v>74</v>
      </c>
      <c r="Q118" t="s">
        <v>99</v>
      </c>
      <c r="R118" t="s">
        <v>47</v>
      </c>
      <c r="S118" t="s">
        <v>34</v>
      </c>
      <c r="T118" t="s">
        <v>413</v>
      </c>
      <c r="U118" t="str">
        <f t="shared" si="9"/>
        <v>36-45</v>
      </c>
      <c r="V118" t="str">
        <f t="shared" si="10"/>
        <v>July</v>
      </c>
      <c r="W118" t="str">
        <f t="shared" si="11"/>
        <v>Q3</v>
      </c>
      <c r="X118">
        <f t="shared" si="12"/>
        <v>2025</v>
      </c>
      <c r="Y118" t="str">
        <f t="shared" si="17"/>
        <v>Medium</v>
      </c>
      <c r="Z118" t="str">
        <f t="shared" si="13"/>
        <v>Regular Buyer</v>
      </c>
      <c r="AA118" t="str">
        <f t="shared" si="14"/>
        <v>Premium</v>
      </c>
      <c r="AB118" s="4">
        <f t="shared" ca="1" si="15"/>
        <v>263</v>
      </c>
      <c r="AC118" t="str">
        <f t="shared" ca="1" si="16"/>
        <v>Churn Risk</v>
      </c>
    </row>
    <row r="119" spans="1:29" x14ac:dyDescent="0.3">
      <c r="A119" t="s">
        <v>414</v>
      </c>
      <c r="B119" t="s">
        <v>95</v>
      </c>
      <c r="C119">
        <v>18</v>
      </c>
      <c r="D119" t="s">
        <v>38</v>
      </c>
      <c r="E119" t="s">
        <v>106</v>
      </c>
      <c r="F119" t="s">
        <v>40</v>
      </c>
      <c r="G119" t="s">
        <v>63</v>
      </c>
      <c r="H119" t="s">
        <v>55</v>
      </c>
      <c r="I119" t="s">
        <v>122</v>
      </c>
      <c r="J119" t="s">
        <v>199</v>
      </c>
      <c r="K119">
        <v>1</v>
      </c>
      <c r="L119">
        <v>4492.13</v>
      </c>
      <c r="M119">
        <v>4492.13</v>
      </c>
      <c r="N119" t="s">
        <v>98</v>
      </c>
      <c r="O119" t="s">
        <v>30</v>
      </c>
      <c r="P119" t="s">
        <v>68</v>
      </c>
      <c r="Q119" t="s">
        <v>32</v>
      </c>
      <c r="R119" t="s">
        <v>33</v>
      </c>
      <c r="S119" t="s">
        <v>83</v>
      </c>
      <c r="T119" t="s">
        <v>415</v>
      </c>
      <c r="U119" t="str">
        <f t="shared" si="9"/>
        <v>18-25</v>
      </c>
      <c r="V119" t="str">
        <f t="shared" si="10"/>
        <v>May</v>
      </c>
      <c r="W119" t="str">
        <f t="shared" si="11"/>
        <v>Q2</v>
      </c>
      <c r="X119">
        <f t="shared" si="12"/>
        <v>2025</v>
      </c>
      <c r="Y119" t="str">
        <f t="shared" si="17"/>
        <v>High</v>
      </c>
      <c r="Z119" t="str">
        <f t="shared" si="13"/>
        <v>Discount Buyer</v>
      </c>
      <c r="AA119" t="str">
        <f t="shared" si="14"/>
        <v>Regular</v>
      </c>
      <c r="AB119" s="4">
        <f t="shared" ca="1" si="15"/>
        <v>369</v>
      </c>
      <c r="AC119" t="str">
        <f t="shared" ca="1" si="16"/>
        <v>Churn Risk</v>
      </c>
    </row>
    <row r="120" spans="1:29" x14ac:dyDescent="0.3">
      <c r="A120" t="s">
        <v>416</v>
      </c>
      <c r="B120" t="s">
        <v>111</v>
      </c>
      <c r="C120">
        <v>29</v>
      </c>
      <c r="D120" t="s">
        <v>22</v>
      </c>
      <c r="E120" t="s">
        <v>78</v>
      </c>
      <c r="F120" t="s">
        <v>79</v>
      </c>
      <c r="G120" t="s">
        <v>25</v>
      </c>
      <c r="H120" t="s">
        <v>129</v>
      </c>
      <c r="I120" t="s">
        <v>130</v>
      </c>
      <c r="J120" t="s">
        <v>303</v>
      </c>
      <c r="K120">
        <v>2</v>
      </c>
      <c r="L120">
        <v>3103</v>
      </c>
      <c r="M120">
        <v>6206</v>
      </c>
      <c r="N120" t="s">
        <v>98</v>
      </c>
      <c r="O120" t="s">
        <v>30</v>
      </c>
      <c r="P120" t="s">
        <v>45</v>
      </c>
      <c r="Q120" t="s">
        <v>32</v>
      </c>
      <c r="R120" t="s">
        <v>33</v>
      </c>
      <c r="S120" t="s">
        <v>34</v>
      </c>
      <c r="T120" t="s">
        <v>417</v>
      </c>
      <c r="U120" t="str">
        <f t="shared" si="9"/>
        <v>26-35</v>
      </c>
      <c r="V120" t="str">
        <f t="shared" si="10"/>
        <v>May</v>
      </c>
      <c r="W120" t="str">
        <f t="shared" si="11"/>
        <v>Q2</v>
      </c>
      <c r="X120">
        <f t="shared" si="12"/>
        <v>2026</v>
      </c>
      <c r="Y120" t="str">
        <f t="shared" si="17"/>
        <v>Medium</v>
      </c>
      <c r="Z120" t="str">
        <f t="shared" si="13"/>
        <v>Discount Buyer</v>
      </c>
      <c r="AA120" t="str">
        <f t="shared" si="14"/>
        <v>Premium</v>
      </c>
      <c r="AB120" s="4">
        <f t="shared" ca="1" si="15"/>
        <v>-30</v>
      </c>
      <c r="AC120" t="str">
        <f t="shared" ca="1" si="16"/>
        <v>Active</v>
      </c>
    </row>
    <row r="121" spans="1:29" x14ac:dyDescent="0.3">
      <c r="A121" t="s">
        <v>418</v>
      </c>
      <c r="B121" t="s">
        <v>71</v>
      </c>
      <c r="C121">
        <v>30</v>
      </c>
      <c r="D121" t="s">
        <v>22</v>
      </c>
      <c r="E121" t="s">
        <v>23</v>
      </c>
      <c r="F121" t="s">
        <v>24</v>
      </c>
      <c r="G121" t="s">
        <v>91</v>
      </c>
      <c r="H121" t="s">
        <v>41</v>
      </c>
      <c r="I121" t="s">
        <v>42</v>
      </c>
      <c r="J121" t="s">
        <v>419</v>
      </c>
      <c r="K121">
        <v>6</v>
      </c>
      <c r="L121">
        <v>498.2</v>
      </c>
      <c r="M121">
        <v>2989.2</v>
      </c>
      <c r="N121" t="s">
        <v>98</v>
      </c>
      <c r="O121" t="s">
        <v>30</v>
      </c>
      <c r="P121" t="s">
        <v>31</v>
      </c>
      <c r="Q121" t="s">
        <v>46</v>
      </c>
      <c r="R121" t="s">
        <v>47</v>
      </c>
      <c r="S121" t="s">
        <v>48</v>
      </c>
      <c r="T121" t="s">
        <v>383</v>
      </c>
      <c r="U121" t="str">
        <f t="shared" si="9"/>
        <v>26-35</v>
      </c>
      <c r="V121" t="str">
        <f t="shared" si="10"/>
        <v>February</v>
      </c>
      <c r="W121" t="str">
        <f t="shared" si="11"/>
        <v>Q1</v>
      </c>
      <c r="X121">
        <f t="shared" si="12"/>
        <v>2025</v>
      </c>
      <c r="Y121" t="str">
        <f t="shared" si="17"/>
        <v>High</v>
      </c>
      <c r="Z121" t="str">
        <f t="shared" si="13"/>
        <v>Regular Buyer</v>
      </c>
      <c r="AA121" t="str">
        <f t="shared" si="14"/>
        <v>Regular</v>
      </c>
      <c r="AB121" s="4">
        <f t="shared" ca="1" si="15"/>
        <v>439</v>
      </c>
      <c r="AC121" t="str">
        <f t="shared" ca="1" si="16"/>
        <v>Churn Risk</v>
      </c>
    </row>
    <row r="122" spans="1:29" x14ac:dyDescent="0.3">
      <c r="A122" t="s">
        <v>420</v>
      </c>
      <c r="B122" t="s">
        <v>37</v>
      </c>
      <c r="C122">
        <v>59</v>
      </c>
      <c r="D122" t="s">
        <v>38</v>
      </c>
      <c r="E122" t="s">
        <v>52</v>
      </c>
      <c r="F122" t="s">
        <v>53</v>
      </c>
      <c r="G122" t="s">
        <v>54</v>
      </c>
      <c r="H122" t="s">
        <v>55</v>
      </c>
      <c r="I122" t="s">
        <v>122</v>
      </c>
      <c r="J122" t="s">
        <v>421</v>
      </c>
      <c r="K122">
        <v>3</v>
      </c>
      <c r="L122">
        <v>3698.17</v>
      </c>
      <c r="M122">
        <v>11094.51</v>
      </c>
      <c r="N122" t="s">
        <v>58</v>
      </c>
      <c r="O122" t="s">
        <v>44</v>
      </c>
      <c r="P122" t="s">
        <v>45</v>
      </c>
      <c r="Q122" t="s">
        <v>32</v>
      </c>
      <c r="R122" t="s">
        <v>47</v>
      </c>
      <c r="S122" t="s">
        <v>83</v>
      </c>
      <c r="T122" t="s">
        <v>422</v>
      </c>
      <c r="U122" t="str">
        <f t="shared" si="9"/>
        <v>55+</v>
      </c>
      <c r="V122" t="str">
        <f t="shared" si="10"/>
        <v>April</v>
      </c>
      <c r="W122" t="str">
        <f t="shared" si="11"/>
        <v>Q2</v>
      </c>
      <c r="X122">
        <f t="shared" si="12"/>
        <v>2026</v>
      </c>
      <c r="Y122" t="str">
        <f t="shared" si="17"/>
        <v>Medium</v>
      </c>
      <c r="Z122" t="str">
        <f t="shared" si="13"/>
        <v>Regular Buyer</v>
      </c>
      <c r="AA122" t="str">
        <f t="shared" si="14"/>
        <v>VIP</v>
      </c>
      <c r="AB122" s="4">
        <f t="shared" ca="1" si="15"/>
        <v>-53</v>
      </c>
      <c r="AC122" t="str">
        <f t="shared" ca="1" si="16"/>
        <v>Active</v>
      </c>
    </row>
    <row r="123" spans="1:29" x14ac:dyDescent="0.3">
      <c r="A123" t="s">
        <v>423</v>
      </c>
      <c r="B123" t="s">
        <v>120</v>
      </c>
      <c r="C123">
        <v>19</v>
      </c>
      <c r="D123" t="s">
        <v>22</v>
      </c>
      <c r="E123" t="s">
        <v>87</v>
      </c>
      <c r="F123" t="s">
        <v>79</v>
      </c>
      <c r="G123" t="s">
        <v>54</v>
      </c>
      <c r="H123" t="s">
        <v>115</v>
      </c>
      <c r="I123" t="s">
        <v>176</v>
      </c>
      <c r="J123" t="s">
        <v>178</v>
      </c>
      <c r="K123">
        <v>7</v>
      </c>
      <c r="L123">
        <v>3145.3</v>
      </c>
      <c r="M123">
        <v>22017.1</v>
      </c>
      <c r="N123" t="s">
        <v>98</v>
      </c>
      <c r="O123" t="s">
        <v>44</v>
      </c>
      <c r="P123" t="s">
        <v>68</v>
      </c>
      <c r="Q123" t="s">
        <v>46</v>
      </c>
      <c r="R123" t="s">
        <v>33</v>
      </c>
      <c r="S123" t="s">
        <v>34</v>
      </c>
      <c r="T123" t="s">
        <v>200</v>
      </c>
      <c r="U123" t="str">
        <f t="shared" si="9"/>
        <v>18-25</v>
      </c>
      <c r="V123" t="str">
        <f t="shared" si="10"/>
        <v>May</v>
      </c>
      <c r="W123" t="str">
        <f t="shared" si="11"/>
        <v>Q2</v>
      </c>
      <c r="X123">
        <f t="shared" si="12"/>
        <v>2025</v>
      </c>
      <c r="Y123" t="str">
        <f t="shared" si="17"/>
        <v>High</v>
      </c>
      <c r="Z123" t="str">
        <f t="shared" si="13"/>
        <v>Discount Buyer</v>
      </c>
      <c r="AA123" t="str">
        <f t="shared" si="14"/>
        <v>VIP</v>
      </c>
      <c r="AB123" s="4">
        <f t="shared" ca="1" si="15"/>
        <v>290</v>
      </c>
      <c r="AC123" t="str">
        <f t="shared" ca="1" si="16"/>
        <v>Churn Risk</v>
      </c>
    </row>
    <row r="124" spans="1:29" x14ac:dyDescent="0.3">
      <c r="A124" t="s">
        <v>424</v>
      </c>
      <c r="B124" t="s">
        <v>159</v>
      </c>
      <c r="C124">
        <v>32</v>
      </c>
      <c r="D124" t="s">
        <v>38</v>
      </c>
      <c r="E124" t="s">
        <v>78</v>
      </c>
      <c r="F124" t="s">
        <v>79</v>
      </c>
      <c r="G124" t="s">
        <v>25</v>
      </c>
      <c r="H124" t="s">
        <v>115</v>
      </c>
      <c r="I124" t="s">
        <v>176</v>
      </c>
      <c r="J124" t="s">
        <v>233</v>
      </c>
      <c r="K124">
        <v>5</v>
      </c>
      <c r="L124">
        <v>3734.72</v>
      </c>
      <c r="M124">
        <v>18673.599999999999</v>
      </c>
      <c r="N124" t="s">
        <v>98</v>
      </c>
      <c r="O124" t="s">
        <v>44</v>
      </c>
      <c r="P124" t="s">
        <v>31</v>
      </c>
      <c r="Q124" t="s">
        <v>59</v>
      </c>
      <c r="R124" t="s">
        <v>33</v>
      </c>
      <c r="S124" t="s">
        <v>142</v>
      </c>
      <c r="T124" t="s">
        <v>301</v>
      </c>
      <c r="U124" t="str">
        <f t="shared" si="9"/>
        <v>26-35</v>
      </c>
      <c r="V124" t="str">
        <f t="shared" si="10"/>
        <v>July</v>
      </c>
      <c r="W124" t="str">
        <f t="shared" si="11"/>
        <v>Q3</v>
      </c>
      <c r="X124">
        <f t="shared" si="12"/>
        <v>2025</v>
      </c>
      <c r="Y124" t="str">
        <f t="shared" si="17"/>
        <v>High</v>
      </c>
      <c r="Z124" t="str">
        <f t="shared" si="13"/>
        <v>Discount Buyer</v>
      </c>
      <c r="AA124" t="str">
        <f t="shared" si="14"/>
        <v>VIP</v>
      </c>
      <c r="AB124" s="4">
        <f t="shared" ca="1" si="15"/>
        <v>330</v>
      </c>
      <c r="AC124" t="str">
        <f t="shared" ca="1" si="16"/>
        <v>Churn Risk</v>
      </c>
    </row>
    <row r="125" spans="1:29" x14ac:dyDescent="0.3">
      <c r="A125" t="s">
        <v>425</v>
      </c>
      <c r="B125" t="s">
        <v>51</v>
      </c>
      <c r="C125">
        <v>23</v>
      </c>
      <c r="D125" t="s">
        <v>38</v>
      </c>
      <c r="E125" t="s">
        <v>23</v>
      </c>
      <c r="F125" t="s">
        <v>24</v>
      </c>
      <c r="G125" t="s">
        <v>25</v>
      </c>
      <c r="H125" t="s">
        <v>129</v>
      </c>
      <c r="I125" t="s">
        <v>167</v>
      </c>
      <c r="J125" t="s">
        <v>191</v>
      </c>
      <c r="K125">
        <v>8</v>
      </c>
      <c r="L125">
        <v>2113.92</v>
      </c>
      <c r="M125">
        <v>16911.36</v>
      </c>
      <c r="N125" t="s">
        <v>98</v>
      </c>
      <c r="O125" t="s">
        <v>30</v>
      </c>
      <c r="P125" t="s">
        <v>31</v>
      </c>
      <c r="Q125" t="s">
        <v>46</v>
      </c>
      <c r="R125" t="s">
        <v>47</v>
      </c>
      <c r="S125" t="s">
        <v>142</v>
      </c>
      <c r="T125" t="s">
        <v>392</v>
      </c>
      <c r="U125" t="str">
        <f t="shared" si="9"/>
        <v>18-25</v>
      </c>
      <c r="V125" t="str">
        <f t="shared" si="10"/>
        <v>September</v>
      </c>
      <c r="W125" t="str">
        <f t="shared" si="11"/>
        <v>Q3</v>
      </c>
      <c r="X125">
        <f t="shared" si="12"/>
        <v>2025</v>
      </c>
      <c r="Y125" t="str">
        <f t="shared" si="17"/>
        <v>High</v>
      </c>
      <c r="Z125" t="str">
        <f t="shared" si="13"/>
        <v>Regular Buyer</v>
      </c>
      <c r="AA125" t="str">
        <f t="shared" si="14"/>
        <v>VIP</v>
      </c>
      <c r="AB125" s="4">
        <f t="shared" ca="1" si="15"/>
        <v>243</v>
      </c>
      <c r="AC125" t="str">
        <f t="shared" ca="1" si="16"/>
        <v>Churn Risk</v>
      </c>
    </row>
    <row r="126" spans="1:29" x14ac:dyDescent="0.3">
      <c r="A126" t="s">
        <v>426</v>
      </c>
      <c r="B126" t="s">
        <v>51</v>
      </c>
      <c r="C126">
        <v>23</v>
      </c>
      <c r="D126" t="s">
        <v>38</v>
      </c>
      <c r="E126" t="s">
        <v>163</v>
      </c>
      <c r="F126" t="s">
        <v>135</v>
      </c>
      <c r="G126" t="s">
        <v>80</v>
      </c>
      <c r="H126" t="s">
        <v>55</v>
      </c>
      <c r="I126" t="s">
        <v>56</v>
      </c>
      <c r="J126" t="s">
        <v>69</v>
      </c>
      <c r="K126">
        <v>3</v>
      </c>
      <c r="L126">
        <v>4286.08</v>
      </c>
      <c r="M126">
        <v>12858.24</v>
      </c>
      <c r="N126" t="s">
        <v>98</v>
      </c>
      <c r="O126" t="s">
        <v>30</v>
      </c>
      <c r="P126" t="s">
        <v>45</v>
      </c>
      <c r="Q126" t="s">
        <v>32</v>
      </c>
      <c r="R126" t="s">
        <v>33</v>
      </c>
      <c r="S126" t="s">
        <v>34</v>
      </c>
      <c r="T126" t="s">
        <v>285</v>
      </c>
      <c r="U126" t="str">
        <f t="shared" si="9"/>
        <v>18-25</v>
      </c>
      <c r="V126" t="str">
        <f t="shared" si="10"/>
        <v>May</v>
      </c>
      <c r="W126" t="str">
        <f t="shared" si="11"/>
        <v>Q2</v>
      </c>
      <c r="X126">
        <f t="shared" si="12"/>
        <v>2025</v>
      </c>
      <c r="Y126" t="str">
        <f t="shared" si="17"/>
        <v>High</v>
      </c>
      <c r="Z126" t="str">
        <f t="shared" si="13"/>
        <v>Discount Buyer</v>
      </c>
      <c r="AA126" t="str">
        <f t="shared" si="14"/>
        <v>VIP</v>
      </c>
      <c r="AB126" s="4">
        <f t="shared" ca="1" si="15"/>
        <v>286</v>
      </c>
      <c r="AC126" t="str">
        <f t="shared" ca="1" si="16"/>
        <v>Churn Risk</v>
      </c>
    </row>
    <row r="127" spans="1:29" x14ac:dyDescent="0.3">
      <c r="A127" t="s">
        <v>427</v>
      </c>
      <c r="B127" t="s">
        <v>159</v>
      </c>
      <c r="C127">
        <v>28</v>
      </c>
      <c r="D127" t="s">
        <v>38</v>
      </c>
      <c r="E127" t="s">
        <v>23</v>
      </c>
      <c r="F127" t="s">
        <v>24</v>
      </c>
      <c r="G127" t="s">
        <v>80</v>
      </c>
      <c r="H127" t="s">
        <v>55</v>
      </c>
      <c r="I127" t="s">
        <v>56</v>
      </c>
      <c r="J127" t="s">
        <v>428</v>
      </c>
      <c r="K127">
        <v>5</v>
      </c>
      <c r="L127">
        <v>1057.04</v>
      </c>
      <c r="M127">
        <v>5285.2</v>
      </c>
      <c r="N127" t="s">
        <v>67</v>
      </c>
      <c r="O127" t="s">
        <v>44</v>
      </c>
      <c r="P127" t="s">
        <v>68</v>
      </c>
      <c r="Q127" t="s">
        <v>32</v>
      </c>
      <c r="R127" t="s">
        <v>47</v>
      </c>
      <c r="S127" t="s">
        <v>83</v>
      </c>
      <c r="T127" t="s">
        <v>429</v>
      </c>
      <c r="U127" t="str">
        <f t="shared" si="9"/>
        <v>26-35</v>
      </c>
      <c r="V127" t="str">
        <f t="shared" si="10"/>
        <v>January</v>
      </c>
      <c r="W127" t="str">
        <f t="shared" si="11"/>
        <v>Q1</v>
      </c>
      <c r="X127">
        <f t="shared" si="12"/>
        <v>2026</v>
      </c>
      <c r="Y127" t="str">
        <f t="shared" si="17"/>
        <v>High</v>
      </c>
      <c r="Z127" t="str">
        <f t="shared" si="13"/>
        <v>Regular Buyer</v>
      </c>
      <c r="AA127" t="str">
        <f t="shared" si="14"/>
        <v>Premium</v>
      </c>
      <c r="AB127" s="4">
        <f t="shared" ca="1" si="15"/>
        <v>133</v>
      </c>
      <c r="AC127" t="str">
        <f t="shared" ca="1" si="16"/>
        <v>At Risk</v>
      </c>
    </row>
    <row r="128" spans="1:29" x14ac:dyDescent="0.3">
      <c r="A128" t="s">
        <v>430</v>
      </c>
      <c r="B128" t="s">
        <v>21</v>
      </c>
      <c r="C128">
        <v>34</v>
      </c>
      <c r="D128" t="s">
        <v>22</v>
      </c>
      <c r="E128" t="s">
        <v>39</v>
      </c>
      <c r="F128" t="s">
        <v>40</v>
      </c>
      <c r="G128" t="s">
        <v>80</v>
      </c>
      <c r="H128" t="s">
        <v>26</v>
      </c>
      <c r="I128" t="s">
        <v>136</v>
      </c>
      <c r="J128" t="s">
        <v>431</v>
      </c>
      <c r="K128">
        <v>7</v>
      </c>
      <c r="L128">
        <v>4088.84</v>
      </c>
      <c r="M128">
        <v>28621.88</v>
      </c>
      <c r="N128" t="s">
        <v>58</v>
      </c>
      <c r="O128" t="s">
        <v>30</v>
      </c>
      <c r="P128" t="s">
        <v>45</v>
      </c>
      <c r="Q128" t="s">
        <v>59</v>
      </c>
      <c r="R128" t="s">
        <v>47</v>
      </c>
      <c r="S128" t="s">
        <v>83</v>
      </c>
      <c r="T128" t="s">
        <v>432</v>
      </c>
      <c r="U128" t="str">
        <f t="shared" si="9"/>
        <v>26-35</v>
      </c>
      <c r="V128" t="str">
        <f t="shared" si="10"/>
        <v>February</v>
      </c>
      <c r="W128" t="str">
        <f t="shared" si="11"/>
        <v>Q1</v>
      </c>
      <c r="X128">
        <f t="shared" si="12"/>
        <v>2026</v>
      </c>
      <c r="Y128" t="str">
        <f t="shared" si="17"/>
        <v>High</v>
      </c>
      <c r="Z128" t="str">
        <f t="shared" si="13"/>
        <v>Regular Buyer</v>
      </c>
      <c r="AA128" t="str">
        <f t="shared" si="14"/>
        <v>VIP</v>
      </c>
      <c r="AB128" s="4">
        <f t="shared" ca="1" si="15"/>
        <v>34</v>
      </c>
      <c r="AC128" t="str">
        <f t="shared" ca="1" si="16"/>
        <v>At Risk</v>
      </c>
    </row>
    <row r="129" spans="1:29" x14ac:dyDescent="0.3">
      <c r="A129" t="s">
        <v>433</v>
      </c>
      <c r="B129" t="s">
        <v>120</v>
      </c>
      <c r="C129">
        <v>46</v>
      </c>
      <c r="D129" t="s">
        <v>22</v>
      </c>
      <c r="E129" t="s">
        <v>62</v>
      </c>
      <c r="F129" t="s">
        <v>53</v>
      </c>
      <c r="G129" t="s">
        <v>54</v>
      </c>
      <c r="H129" t="s">
        <v>64</v>
      </c>
      <c r="I129" t="s">
        <v>189</v>
      </c>
      <c r="J129" t="s">
        <v>434</v>
      </c>
      <c r="K129">
        <v>4</v>
      </c>
      <c r="L129">
        <v>4083.81</v>
      </c>
      <c r="M129">
        <v>16335.24</v>
      </c>
      <c r="N129" t="s">
        <v>108</v>
      </c>
      <c r="O129" t="s">
        <v>44</v>
      </c>
      <c r="P129" t="s">
        <v>45</v>
      </c>
      <c r="Q129" t="s">
        <v>46</v>
      </c>
      <c r="R129" t="s">
        <v>33</v>
      </c>
      <c r="S129" t="s">
        <v>48</v>
      </c>
      <c r="T129" t="s">
        <v>299</v>
      </c>
      <c r="U129" t="str">
        <f t="shared" si="9"/>
        <v>46-55</v>
      </c>
      <c r="V129" t="str">
        <f t="shared" si="10"/>
        <v>May</v>
      </c>
      <c r="W129" t="str">
        <f t="shared" si="11"/>
        <v>Q2</v>
      </c>
      <c r="X129">
        <f t="shared" si="12"/>
        <v>2025</v>
      </c>
      <c r="Y129" t="str">
        <f t="shared" si="17"/>
        <v>High</v>
      </c>
      <c r="Z129" t="str">
        <f t="shared" si="13"/>
        <v>Discount Buyer</v>
      </c>
      <c r="AA129" t="str">
        <f t="shared" si="14"/>
        <v>VIP</v>
      </c>
      <c r="AB129" s="4">
        <f t="shared" ca="1" si="15"/>
        <v>349</v>
      </c>
      <c r="AC129" t="str">
        <f t="shared" ca="1" si="16"/>
        <v>Churn Risk</v>
      </c>
    </row>
    <row r="130" spans="1:29" x14ac:dyDescent="0.3">
      <c r="A130" t="s">
        <v>435</v>
      </c>
      <c r="B130" t="s">
        <v>71</v>
      </c>
      <c r="C130">
        <v>46</v>
      </c>
      <c r="D130" t="s">
        <v>22</v>
      </c>
      <c r="E130" t="s">
        <v>134</v>
      </c>
      <c r="F130" t="s">
        <v>135</v>
      </c>
      <c r="G130" t="s">
        <v>25</v>
      </c>
      <c r="H130" t="s">
        <v>55</v>
      </c>
      <c r="I130" t="s">
        <v>122</v>
      </c>
      <c r="J130" t="s">
        <v>436</v>
      </c>
      <c r="K130">
        <v>3</v>
      </c>
      <c r="L130">
        <v>1930.58</v>
      </c>
      <c r="M130">
        <v>5791.74</v>
      </c>
      <c r="N130" t="s">
        <v>108</v>
      </c>
      <c r="O130" t="s">
        <v>30</v>
      </c>
      <c r="P130" t="s">
        <v>31</v>
      </c>
      <c r="Q130" t="s">
        <v>99</v>
      </c>
      <c r="R130" t="s">
        <v>33</v>
      </c>
      <c r="S130" t="s">
        <v>142</v>
      </c>
      <c r="T130" t="s">
        <v>131</v>
      </c>
      <c r="U130" t="str">
        <f t="shared" si="9"/>
        <v>46-55</v>
      </c>
      <c r="V130" t="str">
        <f t="shared" si="10"/>
        <v>February</v>
      </c>
      <c r="W130" t="str">
        <f t="shared" si="11"/>
        <v>Q1</v>
      </c>
      <c r="X130">
        <f t="shared" si="12"/>
        <v>2025</v>
      </c>
      <c r="Y130" t="str">
        <f t="shared" si="17"/>
        <v>High</v>
      </c>
      <c r="Z130" t="str">
        <f t="shared" si="13"/>
        <v>Discount Buyer</v>
      </c>
      <c r="AA130" t="str">
        <f t="shared" si="14"/>
        <v>Premium</v>
      </c>
      <c r="AB130" s="4">
        <f t="shared" ca="1" si="15"/>
        <v>452</v>
      </c>
      <c r="AC130" t="str">
        <f t="shared" ca="1" si="16"/>
        <v>Churn Risk</v>
      </c>
    </row>
    <row r="131" spans="1:29" x14ac:dyDescent="0.3">
      <c r="A131" t="s">
        <v>437</v>
      </c>
      <c r="B131" t="s">
        <v>86</v>
      </c>
      <c r="C131">
        <v>46</v>
      </c>
      <c r="D131" t="s">
        <v>38</v>
      </c>
      <c r="E131" t="s">
        <v>23</v>
      </c>
      <c r="F131" t="s">
        <v>24</v>
      </c>
      <c r="G131" t="s">
        <v>25</v>
      </c>
      <c r="H131" t="s">
        <v>55</v>
      </c>
      <c r="I131" t="s">
        <v>122</v>
      </c>
      <c r="J131" t="s">
        <v>438</v>
      </c>
      <c r="K131">
        <v>5</v>
      </c>
      <c r="L131">
        <v>1194.46</v>
      </c>
      <c r="M131">
        <v>5972.3</v>
      </c>
      <c r="N131" t="s">
        <v>29</v>
      </c>
      <c r="O131" t="s">
        <v>30</v>
      </c>
      <c r="P131" t="s">
        <v>45</v>
      </c>
      <c r="Q131" t="s">
        <v>46</v>
      </c>
      <c r="R131" t="s">
        <v>47</v>
      </c>
      <c r="S131" t="s">
        <v>83</v>
      </c>
      <c r="T131" t="s">
        <v>439</v>
      </c>
      <c r="U131" t="str">
        <f t="shared" ref="U131:U194" si="18">IF(C131&lt;=25,"18-25",
IF(C131&lt;=35,"26-35",
IF(C131&lt;=45,"36-45",
IF(C131&lt;=55,"46-55","55+"))))</f>
        <v>46-55</v>
      </c>
      <c r="V131" t="str">
        <f t="shared" ref="V131:V194" si="19">TEXT(J131,"MMMM")</f>
        <v>May</v>
      </c>
      <c r="W131" t="str">
        <f t="shared" ref="W131:W194" si="20">"Q"&amp;ROUNDUP(MONTH(J131)/3,0)</f>
        <v>Q2</v>
      </c>
      <c r="X131">
        <f t="shared" ref="X131:X194" si="21">YEAR(J131)</f>
        <v>2025</v>
      </c>
      <c r="Y131" t="str">
        <f t="shared" si="17"/>
        <v>High</v>
      </c>
      <c r="Z131" t="str">
        <f t="shared" ref="Z131:Z194" si="22">IF(R131="Yes","Discount Buyer","Regular Buyer")</f>
        <v>Regular Buyer</v>
      </c>
      <c r="AA131" t="str">
        <f t="shared" ref="AA131:AA194" si="23">IF(M131&gt;=10000,"VIP",
IF(M131&gt;=5000,"Premium","Regular"))</f>
        <v>Premium</v>
      </c>
      <c r="AB131" s="4">
        <f t="shared" ref="AB131:AB194" ca="1" si="24">TODAY()-DATEVALUE(T131)</f>
        <v>271</v>
      </c>
      <c r="AC131" t="str">
        <f t="shared" ref="AC131:AC194" ca="1" si="25">IF(AB131&lt;=30,"Active",IF(AB131&lt;=180,"At Risk","Churn Risk"))</f>
        <v>Churn Risk</v>
      </c>
    </row>
    <row r="132" spans="1:29" x14ac:dyDescent="0.3">
      <c r="A132" t="s">
        <v>440</v>
      </c>
      <c r="B132" t="s">
        <v>159</v>
      </c>
      <c r="C132">
        <v>30</v>
      </c>
      <c r="D132" t="s">
        <v>22</v>
      </c>
      <c r="E132" t="s">
        <v>78</v>
      </c>
      <c r="F132" t="s">
        <v>79</v>
      </c>
      <c r="G132" t="s">
        <v>152</v>
      </c>
      <c r="H132" t="s">
        <v>26</v>
      </c>
      <c r="I132" t="s">
        <v>140</v>
      </c>
      <c r="J132" t="s">
        <v>441</v>
      </c>
      <c r="K132">
        <v>2</v>
      </c>
      <c r="L132">
        <v>3507.74</v>
      </c>
      <c r="M132">
        <v>7015.48</v>
      </c>
      <c r="N132" t="s">
        <v>108</v>
      </c>
      <c r="O132" t="s">
        <v>30</v>
      </c>
      <c r="P132" t="s">
        <v>31</v>
      </c>
      <c r="Q132" t="s">
        <v>46</v>
      </c>
      <c r="R132" t="s">
        <v>33</v>
      </c>
      <c r="S132" t="s">
        <v>142</v>
      </c>
      <c r="T132" t="s">
        <v>442</v>
      </c>
      <c r="U132" t="str">
        <f t="shared" si="18"/>
        <v>26-35</v>
      </c>
      <c r="V132" t="str">
        <f t="shared" si="19"/>
        <v>April</v>
      </c>
      <c r="W132" t="str">
        <f t="shared" si="20"/>
        <v>Q2</v>
      </c>
      <c r="X132">
        <f t="shared" si="21"/>
        <v>2025</v>
      </c>
      <c r="Y132" t="str">
        <f t="shared" ref="Y132:Y195" si="26">IF(M131&lt;1000,"Low",
IF(M131&lt;5000,"Medium","High"))</f>
        <v>High</v>
      </c>
      <c r="Z132" t="str">
        <f t="shared" si="22"/>
        <v>Discount Buyer</v>
      </c>
      <c r="AA132" t="str">
        <f t="shared" si="23"/>
        <v>Premium</v>
      </c>
      <c r="AB132" s="4">
        <f t="shared" ca="1" si="24"/>
        <v>356</v>
      </c>
      <c r="AC132" t="str">
        <f t="shared" ca="1" si="25"/>
        <v>Churn Risk</v>
      </c>
    </row>
    <row r="133" spans="1:29" x14ac:dyDescent="0.3">
      <c r="A133" t="s">
        <v>443</v>
      </c>
      <c r="B133" t="s">
        <v>120</v>
      </c>
      <c r="C133">
        <v>32</v>
      </c>
      <c r="D133" t="s">
        <v>22</v>
      </c>
      <c r="E133" t="s">
        <v>134</v>
      </c>
      <c r="F133" t="s">
        <v>135</v>
      </c>
      <c r="G133" t="s">
        <v>25</v>
      </c>
      <c r="H133" t="s">
        <v>41</v>
      </c>
      <c r="I133" t="s">
        <v>42</v>
      </c>
      <c r="J133" t="s">
        <v>383</v>
      </c>
      <c r="K133">
        <v>5</v>
      </c>
      <c r="L133">
        <v>4711.55</v>
      </c>
      <c r="M133">
        <v>23557.75</v>
      </c>
      <c r="N133" t="s">
        <v>58</v>
      </c>
      <c r="O133" t="s">
        <v>30</v>
      </c>
      <c r="P133" t="s">
        <v>45</v>
      </c>
      <c r="Q133" t="s">
        <v>32</v>
      </c>
      <c r="R133" t="s">
        <v>47</v>
      </c>
      <c r="S133" t="s">
        <v>83</v>
      </c>
      <c r="T133" t="s">
        <v>444</v>
      </c>
      <c r="U133" t="str">
        <f t="shared" si="18"/>
        <v>26-35</v>
      </c>
      <c r="V133" t="str">
        <f t="shared" si="19"/>
        <v>March</v>
      </c>
      <c r="W133" t="str">
        <f t="shared" si="20"/>
        <v>Q1</v>
      </c>
      <c r="X133">
        <f t="shared" si="21"/>
        <v>2025</v>
      </c>
      <c r="Y133" t="str">
        <f t="shared" si="26"/>
        <v>High</v>
      </c>
      <c r="Z133" t="str">
        <f t="shared" si="22"/>
        <v>Regular Buyer</v>
      </c>
      <c r="AA133" t="str">
        <f t="shared" si="23"/>
        <v>VIP</v>
      </c>
      <c r="AB133" s="4">
        <f t="shared" ca="1" si="24"/>
        <v>398</v>
      </c>
      <c r="AC133" t="str">
        <f t="shared" ca="1" si="25"/>
        <v>Churn Risk</v>
      </c>
    </row>
    <row r="134" spans="1:29" x14ac:dyDescent="0.3">
      <c r="A134" t="s">
        <v>445</v>
      </c>
      <c r="B134" t="s">
        <v>71</v>
      </c>
      <c r="C134">
        <v>56</v>
      </c>
      <c r="D134" t="s">
        <v>38</v>
      </c>
      <c r="E134" t="s">
        <v>23</v>
      </c>
      <c r="F134" t="s">
        <v>24</v>
      </c>
      <c r="G134" t="s">
        <v>63</v>
      </c>
      <c r="H134" t="s">
        <v>26</v>
      </c>
      <c r="I134" t="s">
        <v>27</v>
      </c>
      <c r="J134" t="s">
        <v>191</v>
      </c>
      <c r="K134">
        <v>6</v>
      </c>
      <c r="L134">
        <v>1570.47</v>
      </c>
      <c r="M134">
        <v>9422.82</v>
      </c>
      <c r="N134" t="s">
        <v>58</v>
      </c>
      <c r="O134" t="s">
        <v>30</v>
      </c>
      <c r="P134" t="s">
        <v>68</v>
      </c>
      <c r="Q134" t="s">
        <v>32</v>
      </c>
      <c r="R134" t="s">
        <v>47</v>
      </c>
      <c r="S134" t="s">
        <v>34</v>
      </c>
      <c r="T134" t="s">
        <v>446</v>
      </c>
      <c r="U134" t="str">
        <f t="shared" si="18"/>
        <v>55+</v>
      </c>
      <c r="V134" t="str">
        <f t="shared" si="19"/>
        <v>September</v>
      </c>
      <c r="W134" t="str">
        <f t="shared" si="20"/>
        <v>Q3</v>
      </c>
      <c r="X134">
        <f t="shared" si="21"/>
        <v>2025</v>
      </c>
      <c r="Y134" t="str">
        <f t="shared" si="26"/>
        <v>High</v>
      </c>
      <c r="Z134" t="str">
        <f t="shared" si="22"/>
        <v>Regular Buyer</v>
      </c>
      <c r="AA134" t="str">
        <f t="shared" si="23"/>
        <v>Premium</v>
      </c>
      <c r="AB134" s="4">
        <f t="shared" ca="1" si="24"/>
        <v>217</v>
      </c>
      <c r="AC134" t="str">
        <f t="shared" ca="1" si="25"/>
        <v>Churn Risk</v>
      </c>
    </row>
    <row r="135" spans="1:29" x14ac:dyDescent="0.3">
      <c r="A135" t="s">
        <v>447</v>
      </c>
      <c r="B135" t="s">
        <v>95</v>
      </c>
      <c r="C135">
        <v>22</v>
      </c>
      <c r="D135" t="s">
        <v>22</v>
      </c>
      <c r="E135" t="s">
        <v>78</v>
      </c>
      <c r="F135" t="s">
        <v>79</v>
      </c>
      <c r="G135" t="s">
        <v>54</v>
      </c>
      <c r="H135" t="s">
        <v>129</v>
      </c>
      <c r="I135" t="s">
        <v>148</v>
      </c>
      <c r="J135" t="s">
        <v>448</v>
      </c>
      <c r="K135">
        <v>3</v>
      </c>
      <c r="L135">
        <v>354.64</v>
      </c>
      <c r="M135">
        <v>1063.92</v>
      </c>
      <c r="N135" t="s">
        <v>67</v>
      </c>
      <c r="O135" t="s">
        <v>44</v>
      </c>
      <c r="P135" t="s">
        <v>31</v>
      </c>
      <c r="Q135" t="s">
        <v>46</v>
      </c>
      <c r="R135" t="s">
        <v>33</v>
      </c>
      <c r="S135" t="s">
        <v>142</v>
      </c>
      <c r="T135" t="s">
        <v>364</v>
      </c>
      <c r="U135" t="str">
        <f t="shared" si="18"/>
        <v>18-25</v>
      </c>
      <c r="V135" t="str">
        <f t="shared" si="19"/>
        <v>July</v>
      </c>
      <c r="W135" t="str">
        <f t="shared" si="20"/>
        <v>Q3</v>
      </c>
      <c r="X135">
        <f t="shared" si="21"/>
        <v>2025</v>
      </c>
      <c r="Y135" t="str">
        <f t="shared" si="26"/>
        <v>High</v>
      </c>
      <c r="Z135" t="str">
        <f t="shared" si="22"/>
        <v>Discount Buyer</v>
      </c>
      <c r="AA135" t="str">
        <f t="shared" si="23"/>
        <v>Regular</v>
      </c>
      <c r="AB135" s="4">
        <f t="shared" ca="1" si="24"/>
        <v>256</v>
      </c>
      <c r="AC135" t="str">
        <f t="shared" ca="1" si="25"/>
        <v>Churn Risk</v>
      </c>
    </row>
    <row r="136" spans="1:29" x14ac:dyDescent="0.3">
      <c r="A136" t="s">
        <v>449</v>
      </c>
      <c r="B136" t="s">
        <v>120</v>
      </c>
      <c r="C136">
        <v>45</v>
      </c>
      <c r="D136" t="s">
        <v>22</v>
      </c>
      <c r="E136" t="s">
        <v>52</v>
      </c>
      <c r="F136" t="s">
        <v>53</v>
      </c>
      <c r="G136" t="s">
        <v>72</v>
      </c>
      <c r="H136" t="s">
        <v>64</v>
      </c>
      <c r="I136" t="s">
        <v>102</v>
      </c>
      <c r="J136" t="s">
        <v>450</v>
      </c>
      <c r="K136">
        <v>5</v>
      </c>
      <c r="L136">
        <v>2048.8200000000002</v>
      </c>
      <c r="M136">
        <v>10244.1</v>
      </c>
      <c r="N136" t="s">
        <v>67</v>
      </c>
      <c r="O136" t="s">
        <v>44</v>
      </c>
      <c r="P136" t="s">
        <v>31</v>
      </c>
      <c r="Q136" t="s">
        <v>99</v>
      </c>
      <c r="R136" t="s">
        <v>33</v>
      </c>
      <c r="S136" t="s">
        <v>142</v>
      </c>
      <c r="T136" t="s">
        <v>451</v>
      </c>
      <c r="U136" t="str">
        <f t="shared" si="18"/>
        <v>36-45</v>
      </c>
      <c r="V136" t="str">
        <f t="shared" si="19"/>
        <v>January</v>
      </c>
      <c r="W136" t="str">
        <f t="shared" si="20"/>
        <v>Q1</v>
      </c>
      <c r="X136">
        <f t="shared" si="21"/>
        <v>2025</v>
      </c>
      <c r="Y136" t="str">
        <f t="shared" si="26"/>
        <v>Medium</v>
      </c>
      <c r="Z136" t="str">
        <f t="shared" si="22"/>
        <v>Discount Buyer</v>
      </c>
      <c r="AA136" t="str">
        <f t="shared" si="23"/>
        <v>VIP</v>
      </c>
      <c r="AB136" s="4">
        <f t="shared" ca="1" si="24"/>
        <v>491</v>
      </c>
      <c r="AC136" t="str">
        <f t="shared" ca="1" si="25"/>
        <v>Churn Risk</v>
      </c>
    </row>
    <row r="137" spans="1:29" x14ac:dyDescent="0.3">
      <c r="A137" t="s">
        <v>452</v>
      </c>
      <c r="B137" t="s">
        <v>37</v>
      </c>
      <c r="C137">
        <v>28</v>
      </c>
      <c r="D137" t="s">
        <v>38</v>
      </c>
      <c r="E137" t="s">
        <v>78</v>
      </c>
      <c r="F137" t="s">
        <v>79</v>
      </c>
      <c r="G137" t="s">
        <v>63</v>
      </c>
      <c r="H137" t="s">
        <v>26</v>
      </c>
      <c r="I137" t="s">
        <v>140</v>
      </c>
      <c r="J137" t="s">
        <v>453</v>
      </c>
      <c r="K137">
        <v>8</v>
      </c>
      <c r="L137">
        <v>743</v>
      </c>
      <c r="M137">
        <v>5944</v>
      </c>
      <c r="N137" t="s">
        <v>108</v>
      </c>
      <c r="O137" t="s">
        <v>44</v>
      </c>
      <c r="P137" t="s">
        <v>31</v>
      </c>
      <c r="Q137" t="s">
        <v>59</v>
      </c>
      <c r="R137" t="s">
        <v>33</v>
      </c>
      <c r="S137" t="s">
        <v>48</v>
      </c>
      <c r="T137" t="s">
        <v>171</v>
      </c>
      <c r="U137" t="str">
        <f t="shared" si="18"/>
        <v>26-35</v>
      </c>
      <c r="V137" t="str">
        <f t="shared" si="19"/>
        <v>December</v>
      </c>
      <c r="W137" t="str">
        <f t="shared" si="20"/>
        <v>Q4</v>
      </c>
      <c r="X137">
        <f t="shared" si="21"/>
        <v>2025</v>
      </c>
      <c r="Y137" t="str">
        <f t="shared" si="26"/>
        <v>High</v>
      </c>
      <c r="Z137" t="str">
        <f t="shared" si="22"/>
        <v>Discount Buyer</v>
      </c>
      <c r="AA137" t="str">
        <f t="shared" si="23"/>
        <v>Premium</v>
      </c>
      <c r="AB137" s="4">
        <f t="shared" ca="1" si="24"/>
        <v>91</v>
      </c>
      <c r="AC137" t="str">
        <f t="shared" ca="1" si="25"/>
        <v>At Risk</v>
      </c>
    </row>
    <row r="138" spans="1:29" x14ac:dyDescent="0.3">
      <c r="A138" t="s">
        <v>454</v>
      </c>
      <c r="B138" t="s">
        <v>120</v>
      </c>
      <c r="C138">
        <v>52</v>
      </c>
      <c r="D138" t="s">
        <v>38</v>
      </c>
      <c r="E138" t="s">
        <v>78</v>
      </c>
      <c r="F138" t="s">
        <v>79</v>
      </c>
      <c r="G138" t="s">
        <v>54</v>
      </c>
      <c r="H138" t="s">
        <v>129</v>
      </c>
      <c r="I138" t="s">
        <v>130</v>
      </c>
      <c r="J138" t="s">
        <v>287</v>
      </c>
      <c r="K138">
        <v>5</v>
      </c>
      <c r="L138">
        <v>1702.3</v>
      </c>
      <c r="M138">
        <v>8511.5</v>
      </c>
      <c r="N138" t="s">
        <v>98</v>
      </c>
      <c r="O138" t="s">
        <v>44</v>
      </c>
      <c r="P138" t="s">
        <v>31</v>
      </c>
      <c r="Q138" t="s">
        <v>59</v>
      </c>
      <c r="R138" t="s">
        <v>33</v>
      </c>
      <c r="S138" t="s">
        <v>34</v>
      </c>
      <c r="T138" t="s">
        <v>455</v>
      </c>
      <c r="U138" t="str">
        <f t="shared" si="18"/>
        <v>46-55</v>
      </c>
      <c r="V138" t="str">
        <f t="shared" si="19"/>
        <v>January</v>
      </c>
      <c r="W138" t="str">
        <f t="shared" si="20"/>
        <v>Q1</v>
      </c>
      <c r="X138">
        <f t="shared" si="21"/>
        <v>2025</v>
      </c>
      <c r="Y138" t="str">
        <f t="shared" si="26"/>
        <v>High</v>
      </c>
      <c r="Z138" t="str">
        <f t="shared" si="22"/>
        <v>Discount Buyer</v>
      </c>
      <c r="AA138" t="str">
        <f t="shared" si="23"/>
        <v>Premium</v>
      </c>
      <c r="AB138" s="4">
        <f t="shared" ca="1" si="24"/>
        <v>400</v>
      </c>
      <c r="AC138" t="str">
        <f t="shared" ca="1" si="25"/>
        <v>Churn Risk</v>
      </c>
    </row>
    <row r="139" spans="1:29" x14ac:dyDescent="0.3">
      <c r="A139" t="s">
        <v>456</v>
      </c>
      <c r="B139" t="s">
        <v>86</v>
      </c>
      <c r="C139">
        <v>53</v>
      </c>
      <c r="D139" t="s">
        <v>22</v>
      </c>
      <c r="E139" t="s">
        <v>23</v>
      </c>
      <c r="F139" t="s">
        <v>24</v>
      </c>
      <c r="G139" t="s">
        <v>91</v>
      </c>
      <c r="H139" t="s">
        <v>64</v>
      </c>
      <c r="I139" t="s">
        <v>65</v>
      </c>
      <c r="J139" t="s">
        <v>457</v>
      </c>
      <c r="K139">
        <v>3</v>
      </c>
      <c r="L139">
        <v>1467.3</v>
      </c>
      <c r="M139">
        <v>4401.8999999999996</v>
      </c>
      <c r="N139" t="s">
        <v>108</v>
      </c>
      <c r="O139" t="s">
        <v>44</v>
      </c>
      <c r="P139" t="s">
        <v>68</v>
      </c>
      <c r="Q139" t="s">
        <v>99</v>
      </c>
      <c r="R139" t="s">
        <v>47</v>
      </c>
      <c r="S139" t="s">
        <v>83</v>
      </c>
      <c r="T139" t="s">
        <v>432</v>
      </c>
      <c r="U139" t="str">
        <f t="shared" si="18"/>
        <v>46-55</v>
      </c>
      <c r="V139" t="str">
        <f t="shared" si="19"/>
        <v>January</v>
      </c>
      <c r="W139" t="str">
        <f t="shared" si="20"/>
        <v>Q1</v>
      </c>
      <c r="X139">
        <f t="shared" si="21"/>
        <v>2026</v>
      </c>
      <c r="Y139" t="str">
        <f t="shared" si="26"/>
        <v>High</v>
      </c>
      <c r="Z139" t="str">
        <f t="shared" si="22"/>
        <v>Regular Buyer</v>
      </c>
      <c r="AA139" t="str">
        <f t="shared" si="23"/>
        <v>Regular</v>
      </c>
      <c r="AB139" s="4">
        <f t="shared" ca="1" si="24"/>
        <v>34</v>
      </c>
      <c r="AC139" t="str">
        <f t="shared" ca="1" si="25"/>
        <v>At Risk</v>
      </c>
    </row>
    <row r="140" spans="1:29" x14ac:dyDescent="0.3">
      <c r="A140" t="s">
        <v>458</v>
      </c>
      <c r="B140" t="s">
        <v>77</v>
      </c>
      <c r="C140">
        <v>26</v>
      </c>
      <c r="D140" t="s">
        <v>38</v>
      </c>
      <c r="E140" t="s">
        <v>62</v>
      </c>
      <c r="F140" t="s">
        <v>53</v>
      </c>
      <c r="G140" t="s">
        <v>152</v>
      </c>
      <c r="H140" t="s">
        <v>64</v>
      </c>
      <c r="I140" t="s">
        <v>65</v>
      </c>
      <c r="J140" t="s">
        <v>459</v>
      </c>
      <c r="K140">
        <v>8</v>
      </c>
      <c r="L140">
        <v>984.23</v>
      </c>
      <c r="M140">
        <v>7873.84</v>
      </c>
      <c r="N140" t="s">
        <v>108</v>
      </c>
      <c r="O140" t="s">
        <v>30</v>
      </c>
      <c r="P140" t="s">
        <v>31</v>
      </c>
      <c r="Q140" t="s">
        <v>99</v>
      </c>
      <c r="R140" t="s">
        <v>47</v>
      </c>
      <c r="S140" t="s">
        <v>48</v>
      </c>
      <c r="T140" t="s">
        <v>460</v>
      </c>
      <c r="U140" t="str">
        <f t="shared" si="18"/>
        <v>26-35</v>
      </c>
      <c r="V140" t="str">
        <f t="shared" si="19"/>
        <v>May</v>
      </c>
      <c r="W140" t="str">
        <f t="shared" si="20"/>
        <v>Q2</v>
      </c>
      <c r="X140">
        <f t="shared" si="21"/>
        <v>2026</v>
      </c>
      <c r="Y140" t="str">
        <f t="shared" si="26"/>
        <v>Medium</v>
      </c>
      <c r="Z140" t="str">
        <f t="shared" si="22"/>
        <v>Regular Buyer</v>
      </c>
      <c r="AA140" t="str">
        <f t="shared" si="23"/>
        <v>Premium</v>
      </c>
      <c r="AB140" s="4">
        <f t="shared" ca="1" si="24"/>
        <v>-49</v>
      </c>
      <c r="AC140" t="str">
        <f t="shared" ca="1" si="25"/>
        <v>Active</v>
      </c>
    </row>
    <row r="141" spans="1:29" x14ac:dyDescent="0.3">
      <c r="A141" t="s">
        <v>461</v>
      </c>
      <c r="B141" t="s">
        <v>159</v>
      </c>
      <c r="C141">
        <v>27</v>
      </c>
      <c r="D141" t="s">
        <v>22</v>
      </c>
      <c r="E141" t="s">
        <v>106</v>
      </c>
      <c r="F141" t="s">
        <v>40</v>
      </c>
      <c r="G141" t="s">
        <v>80</v>
      </c>
      <c r="H141" t="s">
        <v>115</v>
      </c>
      <c r="I141" t="s">
        <v>176</v>
      </c>
      <c r="J141" t="s">
        <v>69</v>
      </c>
      <c r="K141">
        <v>8</v>
      </c>
      <c r="L141">
        <v>2265.0300000000002</v>
      </c>
      <c r="M141">
        <v>18120.240000000002</v>
      </c>
      <c r="N141" t="s">
        <v>67</v>
      </c>
      <c r="O141" t="s">
        <v>30</v>
      </c>
      <c r="P141" t="s">
        <v>31</v>
      </c>
      <c r="Q141" t="s">
        <v>46</v>
      </c>
      <c r="R141" t="s">
        <v>47</v>
      </c>
      <c r="S141" t="s">
        <v>34</v>
      </c>
      <c r="T141" t="s">
        <v>462</v>
      </c>
      <c r="U141" t="str">
        <f t="shared" si="18"/>
        <v>26-35</v>
      </c>
      <c r="V141" t="str">
        <f t="shared" si="19"/>
        <v>May</v>
      </c>
      <c r="W141" t="str">
        <f t="shared" si="20"/>
        <v>Q2</v>
      </c>
      <c r="X141">
        <f t="shared" si="21"/>
        <v>2025</v>
      </c>
      <c r="Y141" t="str">
        <f t="shared" si="26"/>
        <v>High</v>
      </c>
      <c r="Z141" t="str">
        <f t="shared" si="22"/>
        <v>Regular Buyer</v>
      </c>
      <c r="AA141" t="str">
        <f t="shared" si="23"/>
        <v>VIP</v>
      </c>
      <c r="AB141" s="4">
        <f t="shared" ca="1" si="24"/>
        <v>346</v>
      </c>
      <c r="AC141" t="str">
        <f t="shared" ca="1" si="25"/>
        <v>Churn Risk</v>
      </c>
    </row>
    <row r="142" spans="1:29" x14ac:dyDescent="0.3">
      <c r="A142" t="s">
        <v>463</v>
      </c>
      <c r="B142" t="s">
        <v>120</v>
      </c>
      <c r="C142">
        <v>37</v>
      </c>
      <c r="D142" t="s">
        <v>38</v>
      </c>
      <c r="E142" t="s">
        <v>87</v>
      </c>
      <c r="F142" t="s">
        <v>79</v>
      </c>
      <c r="G142" t="s">
        <v>54</v>
      </c>
      <c r="H142" t="s">
        <v>129</v>
      </c>
      <c r="I142" t="s">
        <v>130</v>
      </c>
      <c r="J142" t="s">
        <v>464</v>
      </c>
      <c r="K142">
        <v>3</v>
      </c>
      <c r="L142">
        <v>916.84</v>
      </c>
      <c r="M142">
        <v>2750.52</v>
      </c>
      <c r="N142" t="s">
        <v>58</v>
      </c>
      <c r="O142" t="s">
        <v>44</v>
      </c>
      <c r="P142" t="s">
        <v>74</v>
      </c>
      <c r="Q142" t="s">
        <v>46</v>
      </c>
      <c r="R142" t="s">
        <v>33</v>
      </c>
      <c r="S142" t="s">
        <v>142</v>
      </c>
      <c r="T142" t="s">
        <v>465</v>
      </c>
      <c r="U142" t="str">
        <f t="shared" si="18"/>
        <v>36-45</v>
      </c>
      <c r="V142" t="str">
        <f t="shared" si="19"/>
        <v>November</v>
      </c>
      <c r="W142" t="str">
        <f t="shared" si="20"/>
        <v>Q4</v>
      </c>
      <c r="X142">
        <f t="shared" si="21"/>
        <v>2025</v>
      </c>
      <c r="Y142" t="str">
        <f t="shared" si="26"/>
        <v>High</v>
      </c>
      <c r="Z142" t="str">
        <f t="shared" si="22"/>
        <v>Discount Buyer</v>
      </c>
      <c r="AA142" t="str">
        <f t="shared" si="23"/>
        <v>Regular</v>
      </c>
      <c r="AB142" s="4">
        <f t="shared" ca="1" si="24"/>
        <v>153</v>
      </c>
      <c r="AC142" t="str">
        <f t="shared" ca="1" si="25"/>
        <v>At Risk</v>
      </c>
    </row>
    <row r="143" spans="1:29" x14ac:dyDescent="0.3">
      <c r="A143" t="s">
        <v>466</v>
      </c>
      <c r="B143" t="s">
        <v>95</v>
      </c>
      <c r="C143">
        <v>50</v>
      </c>
      <c r="D143" t="s">
        <v>22</v>
      </c>
      <c r="E143" t="s">
        <v>23</v>
      </c>
      <c r="F143" t="s">
        <v>24</v>
      </c>
      <c r="G143" t="s">
        <v>91</v>
      </c>
      <c r="H143" t="s">
        <v>41</v>
      </c>
      <c r="I143" t="s">
        <v>81</v>
      </c>
      <c r="J143" t="s">
        <v>467</v>
      </c>
      <c r="K143">
        <v>2</v>
      </c>
      <c r="L143">
        <v>150.78</v>
      </c>
      <c r="M143">
        <v>301.56</v>
      </c>
      <c r="N143" t="s">
        <v>58</v>
      </c>
      <c r="O143" t="s">
        <v>30</v>
      </c>
      <c r="P143" t="s">
        <v>74</v>
      </c>
      <c r="Q143" t="s">
        <v>59</v>
      </c>
      <c r="R143" t="s">
        <v>33</v>
      </c>
      <c r="S143" t="s">
        <v>83</v>
      </c>
      <c r="T143" t="s">
        <v>374</v>
      </c>
      <c r="U143" t="str">
        <f t="shared" si="18"/>
        <v>46-55</v>
      </c>
      <c r="V143" t="str">
        <f t="shared" si="19"/>
        <v>April</v>
      </c>
      <c r="W143" t="str">
        <f t="shared" si="20"/>
        <v>Q2</v>
      </c>
      <c r="X143">
        <f t="shared" si="21"/>
        <v>2025</v>
      </c>
      <c r="Y143" t="str">
        <f t="shared" si="26"/>
        <v>Medium</v>
      </c>
      <c r="Z143" t="str">
        <f t="shared" si="22"/>
        <v>Discount Buyer</v>
      </c>
      <c r="AA143" t="str">
        <f t="shared" si="23"/>
        <v>Regular</v>
      </c>
      <c r="AB143" s="4">
        <f t="shared" ca="1" si="24"/>
        <v>309</v>
      </c>
      <c r="AC143" t="str">
        <f t="shared" ca="1" si="25"/>
        <v>Churn Risk</v>
      </c>
    </row>
    <row r="144" spans="1:29" x14ac:dyDescent="0.3">
      <c r="A144" t="s">
        <v>468</v>
      </c>
      <c r="B144" t="s">
        <v>77</v>
      </c>
      <c r="C144">
        <v>27</v>
      </c>
      <c r="D144" t="s">
        <v>22</v>
      </c>
      <c r="E144" t="s">
        <v>121</v>
      </c>
      <c r="F144" t="s">
        <v>24</v>
      </c>
      <c r="G144" t="s">
        <v>80</v>
      </c>
      <c r="H144" t="s">
        <v>115</v>
      </c>
      <c r="I144" t="s">
        <v>176</v>
      </c>
      <c r="J144" t="s">
        <v>469</v>
      </c>
      <c r="K144">
        <v>1</v>
      </c>
      <c r="L144">
        <v>804.35</v>
      </c>
      <c r="M144">
        <v>804.35</v>
      </c>
      <c r="N144" t="s">
        <v>29</v>
      </c>
      <c r="O144" t="s">
        <v>30</v>
      </c>
      <c r="P144" t="s">
        <v>68</v>
      </c>
      <c r="Q144" t="s">
        <v>32</v>
      </c>
      <c r="R144" t="s">
        <v>47</v>
      </c>
      <c r="S144" t="s">
        <v>142</v>
      </c>
      <c r="T144" t="s">
        <v>310</v>
      </c>
      <c r="U144" t="str">
        <f t="shared" si="18"/>
        <v>26-35</v>
      </c>
      <c r="V144" t="str">
        <f t="shared" si="19"/>
        <v>August</v>
      </c>
      <c r="W144" t="str">
        <f t="shared" si="20"/>
        <v>Q3</v>
      </c>
      <c r="X144">
        <f t="shared" si="21"/>
        <v>2025</v>
      </c>
      <c r="Y144" t="str">
        <f t="shared" si="26"/>
        <v>Low</v>
      </c>
      <c r="Z144" t="str">
        <f t="shared" si="22"/>
        <v>Regular Buyer</v>
      </c>
      <c r="AA144" t="str">
        <f t="shared" si="23"/>
        <v>Regular</v>
      </c>
      <c r="AB144" s="4">
        <f t="shared" ca="1" si="24"/>
        <v>171</v>
      </c>
      <c r="AC144" t="str">
        <f t="shared" ca="1" si="25"/>
        <v>At Risk</v>
      </c>
    </row>
    <row r="145" spans="1:29" x14ac:dyDescent="0.3">
      <c r="A145" t="s">
        <v>470</v>
      </c>
      <c r="B145" t="s">
        <v>86</v>
      </c>
      <c r="C145">
        <v>59</v>
      </c>
      <c r="D145" t="s">
        <v>38</v>
      </c>
      <c r="E145" t="s">
        <v>134</v>
      </c>
      <c r="F145" t="s">
        <v>135</v>
      </c>
      <c r="G145" t="s">
        <v>152</v>
      </c>
      <c r="H145" t="s">
        <v>41</v>
      </c>
      <c r="I145" t="s">
        <v>272</v>
      </c>
      <c r="J145" t="s">
        <v>471</v>
      </c>
      <c r="K145">
        <v>6</v>
      </c>
      <c r="L145">
        <v>835.75</v>
      </c>
      <c r="M145">
        <v>5014.5</v>
      </c>
      <c r="N145" t="s">
        <v>98</v>
      </c>
      <c r="O145" t="s">
        <v>44</v>
      </c>
      <c r="P145" t="s">
        <v>68</v>
      </c>
      <c r="Q145" t="s">
        <v>59</v>
      </c>
      <c r="R145" t="s">
        <v>47</v>
      </c>
      <c r="S145" t="s">
        <v>142</v>
      </c>
      <c r="T145" t="s">
        <v>472</v>
      </c>
      <c r="U145" t="str">
        <f t="shared" si="18"/>
        <v>55+</v>
      </c>
      <c r="V145" t="str">
        <f t="shared" si="19"/>
        <v>May</v>
      </c>
      <c r="W145" t="str">
        <f t="shared" si="20"/>
        <v>Q2</v>
      </c>
      <c r="X145">
        <f t="shared" si="21"/>
        <v>2025</v>
      </c>
      <c r="Y145" t="str">
        <f t="shared" si="26"/>
        <v>Low</v>
      </c>
      <c r="Z145" t="str">
        <f t="shared" si="22"/>
        <v>Regular Buyer</v>
      </c>
      <c r="AA145" t="str">
        <f t="shared" si="23"/>
        <v>Premium</v>
      </c>
      <c r="AB145" s="4">
        <f t="shared" ca="1" si="24"/>
        <v>337</v>
      </c>
      <c r="AC145" t="str">
        <f t="shared" ca="1" si="25"/>
        <v>Churn Risk</v>
      </c>
    </row>
    <row r="146" spans="1:29" x14ac:dyDescent="0.3">
      <c r="A146" t="s">
        <v>473</v>
      </c>
      <c r="B146" t="s">
        <v>159</v>
      </c>
      <c r="C146">
        <v>37</v>
      </c>
      <c r="D146" t="s">
        <v>22</v>
      </c>
      <c r="E146" t="s">
        <v>134</v>
      </c>
      <c r="F146" t="s">
        <v>135</v>
      </c>
      <c r="G146" t="s">
        <v>25</v>
      </c>
      <c r="H146" t="s">
        <v>129</v>
      </c>
      <c r="I146" t="s">
        <v>148</v>
      </c>
      <c r="J146" t="s">
        <v>69</v>
      </c>
      <c r="K146">
        <v>8</v>
      </c>
      <c r="L146">
        <v>4220.1899999999996</v>
      </c>
      <c r="M146">
        <v>33761.519999999997</v>
      </c>
      <c r="N146" t="s">
        <v>58</v>
      </c>
      <c r="O146" t="s">
        <v>30</v>
      </c>
      <c r="P146" t="s">
        <v>45</v>
      </c>
      <c r="Q146" t="s">
        <v>99</v>
      </c>
      <c r="R146" t="s">
        <v>33</v>
      </c>
      <c r="S146" t="s">
        <v>142</v>
      </c>
      <c r="T146" t="s">
        <v>403</v>
      </c>
      <c r="U146" t="str">
        <f t="shared" si="18"/>
        <v>36-45</v>
      </c>
      <c r="V146" t="str">
        <f t="shared" si="19"/>
        <v>May</v>
      </c>
      <c r="W146" t="str">
        <f t="shared" si="20"/>
        <v>Q2</v>
      </c>
      <c r="X146">
        <f t="shared" si="21"/>
        <v>2025</v>
      </c>
      <c r="Y146" t="str">
        <f t="shared" si="26"/>
        <v>High</v>
      </c>
      <c r="Z146" t="str">
        <f t="shared" si="22"/>
        <v>Discount Buyer</v>
      </c>
      <c r="AA146" t="str">
        <f t="shared" si="23"/>
        <v>VIP</v>
      </c>
      <c r="AB146" s="4">
        <f t="shared" ca="1" si="24"/>
        <v>281</v>
      </c>
      <c r="AC146" t="str">
        <f t="shared" ca="1" si="25"/>
        <v>Churn Risk</v>
      </c>
    </row>
    <row r="147" spans="1:29" x14ac:dyDescent="0.3">
      <c r="A147" t="s">
        <v>474</v>
      </c>
      <c r="B147" t="s">
        <v>37</v>
      </c>
      <c r="C147">
        <v>39</v>
      </c>
      <c r="D147" t="s">
        <v>38</v>
      </c>
      <c r="E147" t="s">
        <v>52</v>
      </c>
      <c r="F147" t="s">
        <v>53</v>
      </c>
      <c r="G147" t="s">
        <v>72</v>
      </c>
      <c r="H147" t="s">
        <v>55</v>
      </c>
      <c r="I147" t="s">
        <v>96</v>
      </c>
      <c r="J147" t="s">
        <v>475</v>
      </c>
      <c r="K147">
        <v>8</v>
      </c>
      <c r="L147">
        <v>373.38</v>
      </c>
      <c r="M147">
        <v>2987.04</v>
      </c>
      <c r="N147" t="s">
        <v>98</v>
      </c>
      <c r="O147" t="s">
        <v>44</v>
      </c>
      <c r="P147" t="s">
        <v>45</v>
      </c>
      <c r="Q147" t="s">
        <v>99</v>
      </c>
      <c r="R147" t="s">
        <v>47</v>
      </c>
      <c r="S147" t="s">
        <v>83</v>
      </c>
      <c r="T147" t="s">
        <v>476</v>
      </c>
      <c r="U147" t="str">
        <f t="shared" si="18"/>
        <v>36-45</v>
      </c>
      <c r="V147" t="str">
        <f t="shared" si="19"/>
        <v>January</v>
      </c>
      <c r="W147" t="str">
        <f t="shared" si="20"/>
        <v>Q1</v>
      </c>
      <c r="X147">
        <f t="shared" si="21"/>
        <v>2025</v>
      </c>
      <c r="Y147" t="str">
        <f t="shared" si="26"/>
        <v>High</v>
      </c>
      <c r="Z147" t="str">
        <f t="shared" si="22"/>
        <v>Regular Buyer</v>
      </c>
      <c r="AA147" t="str">
        <f t="shared" si="23"/>
        <v>Regular</v>
      </c>
      <c r="AB147" s="4">
        <f t="shared" ca="1" si="24"/>
        <v>434</v>
      </c>
      <c r="AC147" t="str">
        <f t="shared" ca="1" si="25"/>
        <v>Churn Risk</v>
      </c>
    </row>
    <row r="148" spans="1:29" x14ac:dyDescent="0.3">
      <c r="A148" t="s">
        <v>477</v>
      </c>
      <c r="B148" t="s">
        <v>71</v>
      </c>
      <c r="C148">
        <v>39</v>
      </c>
      <c r="D148" t="s">
        <v>22</v>
      </c>
      <c r="E148" t="s">
        <v>78</v>
      </c>
      <c r="F148" t="s">
        <v>79</v>
      </c>
      <c r="G148" t="s">
        <v>63</v>
      </c>
      <c r="H148" t="s">
        <v>26</v>
      </c>
      <c r="I148" t="s">
        <v>136</v>
      </c>
      <c r="J148" t="s">
        <v>301</v>
      </c>
      <c r="K148">
        <v>3</v>
      </c>
      <c r="L148">
        <v>3522.96</v>
      </c>
      <c r="M148">
        <v>10568.88</v>
      </c>
      <c r="N148" t="s">
        <v>98</v>
      </c>
      <c r="O148" t="s">
        <v>44</v>
      </c>
      <c r="P148" t="s">
        <v>74</v>
      </c>
      <c r="Q148" t="s">
        <v>59</v>
      </c>
      <c r="R148" t="s">
        <v>47</v>
      </c>
      <c r="S148" t="s">
        <v>83</v>
      </c>
      <c r="T148" t="s">
        <v>478</v>
      </c>
      <c r="U148" t="str">
        <f t="shared" si="18"/>
        <v>36-45</v>
      </c>
      <c r="V148" t="str">
        <f t="shared" si="19"/>
        <v>July</v>
      </c>
      <c r="W148" t="str">
        <f t="shared" si="20"/>
        <v>Q3</v>
      </c>
      <c r="X148">
        <f t="shared" si="21"/>
        <v>2025</v>
      </c>
      <c r="Y148" t="str">
        <f t="shared" si="26"/>
        <v>Medium</v>
      </c>
      <c r="Z148" t="str">
        <f t="shared" si="22"/>
        <v>Regular Buyer</v>
      </c>
      <c r="AA148" t="str">
        <f t="shared" si="23"/>
        <v>VIP</v>
      </c>
      <c r="AB148" s="4">
        <f t="shared" ca="1" si="24"/>
        <v>283</v>
      </c>
      <c r="AC148" t="str">
        <f t="shared" ca="1" si="25"/>
        <v>Churn Risk</v>
      </c>
    </row>
    <row r="149" spans="1:29" x14ac:dyDescent="0.3">
      <c r="A149" t="s">
        <v>479</v>
      </c>
      <c r="B149" t="s">
        <v>95</v>
      </c>
      <c r="C149">
        <v>24</v>
      </c>
      <c r="D149" t="s">
        <v>22</v>
      </c>
      <c r="E149" t="s">
        <v>23</v>
      </c>
      <c r="F149" t="s">
        <v>24</v>
      </c>
      <c r="G149" t="s">
        <v>72</v>
      </c>
      <c r="H149" t="s">
        <v>55</v>
      </c>
      <c r="I149" t="s">
        <v>56</v>
      </c>
      <c r="J149" t="s">
        <v>480</v>
      </c>
      <c r="K149">
        <v>7</v>
      </c>
      <c r="L149">
        <v>4629.1499999999996</v>
      </c>
      <c r="M149">
        <v>32404.05</v>
      </c>
      <c r="N149" t="s">
        <v>108</v>
      </c>
      <c r="O149" t="s">
        <v>30</v>
      </c>
      <c r="P149" t="s">
        <v>68</v>
      </c>
      <c r="Q149" t="s">
        <v>46</v>
      </c>
      <c r="R149" t="s">
        <v>47</v>
      </c>
      <c r="S149" t="s">
        <v>48</v>
      </c>
      <c r="T149" t="s">
        <v>194</v>
      </c>
      <c r="U149" t="str">
        <f t="shared" si="18"/>
        <v>18-25</v>
      </c>
      <c r="V149" t="str">
        <f t="shared" si="19"/>
        <v>April</v>
      </c>
      <c r="W149" t="str">
        <f t="shared" si="20"/>
        <v>Q2</v>
      </c>
      <c r="X149">
        <f t="shared" si="21"/>
        <v>2025</v>
      </c>
      <c r="Y149" t="str">
        <f t="shared" si="26"/>
        <v>High</v>
      </c>
      <c r="Z149" t="str">
        <f t="shared" si="22"/>
        <v>Regular Buyer</v>
      </c>
      <c r="AA149" t="str">
        <f t="shared" si="23"/>
        <v>VIP</v>
      </c>
      <c r="AB149" s="4">
        <f t="shared" ca="1" si="24"/>
        <v>409</v>
      </c>
      <c r="AC149" t="str">
        <f t="shared" ca="1" si="25"/>
        <v>Churn Risk</v>
      </c>
    </row>
    <row r="150" spans="1:29" x14ac:dyDescent="0.3">
      <c r="A150" t="s">
        <v>481</v>
      </c>
      <c r="B150" t="s">
        <v>86</v>
      </c>
      <c r="C150">
        <v>55</v>
      </c>
      <c r="D150" t="s">
        <v>38</v>
      </c>
      <c r="E150" t="s">
        <v>163</v>
      </c>
      <c r="F150" t="s">
        <v>135</v>
      </c>
      <c r="G150" t="s">
        <v>91</v>
      </c>
      <c r="H150" t="s">
        <v>55</v>
      </c>
      <c r="I150" t="s">
        <v>122</v>
      </c>
      <c r="J150" t="s">
        <v>482</v>
      </c>
      <c r="K150">
        <v>7</v>
      </c>
      <c r="L150">
        <v>1079.6600000000001</v>
      </c>
      <c r="M150">
        <v>7557.62</v>
      </c>
      <c r="N150" t="s">
        <v>58</v>
      </c>
      <c r="O150" t="s">
        <v>30</v>
      </c>
      <c r="P150" t="s">
        <v>68</v>
      </c>
      <c r="Q150" t="s">
        <v>59</v>
      </c>
      <c r="R150" t="s">
        <v>33</v>
      </c>
      <c r="S150" t="s">
        <v>48</v>
      </c>
      <c r="T150" t="s">
        <v>469</v>
      </c>
      <c r="U150" t="str">
        <f t="shared" si="18"/>
        <v>46-55</v>
      </c>
      <c r="V150" t="str">
        <f t="shared" si="19"/>
        <v>July</v>
      </c>
      <c r="W150" t="str">
        <f t="shared" si="20"/>
        <v>Q3</v>
      </c>
      <c r="X150">
        <f t="shared" si="21"/>
        <v>2025</v>
      </c>
      <c r="Y150" t="str">
        <f t="shared" si="26"/>
        <v>High</v>
      </c>
      <c r="Z150" t="str">
        <f t="shared" si="22"/>
        <v>Discount Buyer</v>
      </c>
      <c r="AA150" t="str">
        <f t="shared" si="23"/>
        <v>Premium</v>
      </c>
      <c r="AB150" s="4">
        <f t="shared" ca="1" si="24"/>
        <v>279</v>
      </c>
      <c r="AC150" t="str">
        <f t="shared" ca="1" si="25"/>
        <v>Churn Risk</v>
      </c>
    </row>
    <row r="151" spans="1:29" x14ac:dyDescent="0.3">
      <c r="A151" t="s">
        <v>483</v>
      </c>
      <c r="B151" t="s">
        <v>21</v>
      </c>
      <c r="C151">
        <v>41</v>
      </c>
      <c r="D151" t="s">
        <v>38</v>
      </c>
      <c r="E151" t="s">
        <v>87</v>
      </c>
      <c r="F151" t="s">
        <v>79</v>
      </c>
      <c r="G151" t="s">
        <v>80</v>
      </c>
      <c r="H151" t="s">
        <v>41</v>
      </c>
      <c r="I151" t="s">
        <v>272</v>
      </c>
      <c r="J151" t="s">
        <v>484</v>
      </c>
      <c r="K151">
        <v>2</v>
      </c>
      <c r="L151">
        <v>359.16</v>
      </c>
      <c r="M151">
        <v>718.32</v>
      </c>
      <c r="N151" t="s">
        <v>108</v>
      </c>
      <c r="O151" t="s">
        <v>30</v>
      </c>
      <c r="P151" t="s">
        <v>74</v>
      </c>
      <c r="Q151" t="s">
        <v>32</v>
      </c>
      <c r="R151" t="s">
        <v>33</v>
      </c>
      <c r="S151" t="s">
        <v>142</v>
      </c>
      <c r="T151" t="s">
        <v>369</v>
      </c>
      <c r="U151" t="str">
        <f t="shared" si="18"/>
        <v>36-45</v>
      </c>
      <c r="V151" t="str">
        <f t="shared" si="19"/>
        <v>July</v>
      </c>
      <c r="W151" t="str">
        <f t="shared" si="20"/>
        <v>Q3</v>
      </c>
      <c r="X151">
        <f t="shared" si="21"/>
        <v>2025</v>
      </c>
      <c r="Y151" t="str">
        <f t="shared" si="26"/>
        <v>High</v>
      </c>
      <c r="Z151" t="str">
        <f t="shared" si="22"/>
        <v>Discount Buyer</v>
      </c>
      <c r="AA151" t="str">
        <f t="shared" si="23"/>
        <v>Regular</v>
      </c>
      <c r="AB151" s="4">
        <f t="shared" ca="1" si="24"/>
        <v>230</v>
      </c>
      <c r="AC151" t="str">
        <f t="shared" ca="1" si="25"/>
        <v>Churn Risk</v>
      </c>
    </row>
    <row r="152" spans="1:29" x14ac:dyDescent="0.3">
      <c r="A152" t="s">
        <v>485</v>
      </c>
      <c r="B152" t="s">
        <v>77</v>
      </c>
      <c r="C152">
        <v>37</v>
      </c>
      <c r="D152" t="s">
        <v>22</v>
      </c>
      <c r="E152" t="s">
        <v>52</v>
      </c>
      <c r="F152" t="s">
        <v>53</v>
      </c>
      <c r="G152" t="s">
        <v>25</v>
      </c>
      <c r="H152" t="s">
        <v>129</v>
      </c>
      <c r="I152" t="s">
        <v>167</v>
      </c>
      <c r="J152" t="s">
        <v>486</v>
      </c>
      <c r="K152">
        <v>8</v>
      </c>
      <c r="L152">
        <v>1918.73</v>
      </c>
      <c r="M152">
        <v>15349.84</v>
      </c>
      <c r="N152" t="s">
        <v>58</v>
      </c>
      <c r="O152" t="s">
        <v>30</v>
      </c>
      <c r="P152" t="s">
        <v>31</v>
      </c>
      <c r="Q152" t="s">
        <v>46</v>
      </c>
      <c r="R152" t="s">
        <v>33</v>
      </c>
      <c r="S152" t="s">
        <v>48</v>
      </c>
      <c r="T152" t="s">
        <v>487</v>
      </c>
      <c r="U152" t="str">
        <f t="shared" si="18"/>
        <v>36-45</v>
      </c>
      <c r="V152" t="str">
        <f t="shared" si="19"/>
        <v>February</v>
      </c>
      <c r="W152" t="str">
        <f t="shared" si="20"/>
        <v>Q1</v>
      </c>
      <c r="X152">
        <f t="shared" si="21"/>
        <v>2026</v>
      </c>
      <c r="Y152" t="str">
        <f t="shared" si="26"/>
        <v>Low</v>
      </c>
      <c r="Z152" t="str">
        <f t="shared" si="22"/>
        <v>Discount Buyer</v>
      </c>
      <c r="AA152" t="str">
        <f t="shared" si="23"/>
        <v>VIP</v>
      </c>
      <c r="AB152" s="4">
        <f t="shared" ca="1" si="24"/>
        <v>113</v>
      </c>
      <c r="AC152" t="str">
        <f t="shared" ca="1" si="25"/>
        <v>At Risk</v>
      </c>
    </row>
    <row r="153" spans="1:29" x14ac:dyDescent="0.3">
      <c r="A153" t="s">
        <v>488</v>
      </c>
      <c r="B153" t="s">
        <v>95</v>
      </c>
      <c r="C153">
        <v>18</v>
      </c>
      <c r="D153" t="s">
        <v>38</v>
      </c>
      <c r="E153" t="s">
        <v>121</v>
      </c>
      <c r="F153" t="s">
        <v>24</v>
      </c>
      <c r="G153" t="s">
        <v>25</v>
      </c>
      <c r="H153" t="s">
        <v>129</v>
      </c>
      <c r="I153" t="s">
        <v>167</v>
      </c>
      <c r="J153" t="s">
        <v>89</v>
      </c>
      <c r="K153">
        <v>1</v>
      </c>
      <c r="L153">
        <v>797.1</v>
      </c>
      <c r="M153">
        <v>797.1</v>
      </c>
      <c r="N153" t="s">
        <v>67</v>
      </c>
      <c r="O153" t="s">
        <v>44</v>
      </c>
      <c r="P153" t="s">
        <v>31</v>
      </c>
      <c r="Q153" t="s">
        <v>46</v>
      </c>
      <c r="R153" t="s">
        <v>33</v>
      </c>
      <c r="S153" t="s">
        <v>48</v>
      </c>
      <c r="T153" t="s">
        <v>157</v>
      </c>
      <c r="U153" t="str">
        <f t="shared" si="18"/>
        <v>18-25</v>
      </c>
      <c r="V153" t="str">
        <f t="shared" si="19"/>
        <v>December</v>
      </c>
      <c r="W153" t="str">
        <f t="shared" si="20"/>
        <v>Q4</v>
      </c>
      <c r="X153">
        <f t="shared" si="21"/>
        <v>2025</v>
      </c>
      <c r="Y153" t="str">
        <f t="shared" si="26"/>
        <v>High</v>
      </c>
      <c r="Z153" t="str">
        <f t="shared" si="22"/>
        <v>Discount Buyer</v>
      </c>
      <c r="AA153" t="str">
        <f t="shared" si="23"/>
        <v>Regular</v>
      </c>
      <c r="AB153" s="4">
        <f t="shared" ca="1" si="24"/>
        <v>158</v>
      </c>
      <c r="AC153" t="str">
        <f t="shared" ca="1" si="25"/>
        <v>At Risk</v>
      </c>
    </row>
    <row r="154" spans="1:29" x14ac:dyDescent="0.3">
      <c r="A154" t="s">
        <v>489</v>
      </c>
      <c r="B154" t="s">
        <v>21</v>
      </c>
      <c r="C154">
        <v>42</v>
      </c>
      <c r="D154" t="s">
        <v>22</v>
      </c>
      <c r="E154" t="s">
        <v>87</v>
      </c>
      <c r="F154" t="s">
        <v>79</v>
      </c>
      <c r="G154" t="s">
        <v>25</v>
      </c>
      <c r="H154" t="s">
        <v>55</v>
      </c>
      <c r="I154" t="s">
        <v>122</v>
      </c>
      <c r="J154" t="s">
        <v>490</v>
      </c>
      <c r="K154">
        <v>5</v>
      </c>
      <c r="L154">
        <v>4848.6099999999997</v>
      </c>
      <c r="M154">
        <v>24243.05</v>
      </c>
      <c r="N154" t="s">
        <v>108</v>
      </c>
      <c r="O154" t="s">
        <v>44</v>
      </c>
      <c r="P154" t="s">
        <v>74</v>
      </c>
      <c r="Q154" t="s">
        <v>99</v>
      </c>
      <c r="R154" t="s">
        <v>33</v>
      </c>
      <c r="S154" t="s">
        <v>48</v>
      </c>
      <c r="T154" t="s">
        <v>252</v>
      </c>
      <c r="U154" t="str">
        <f t="shared" si="18"/>
        <v>36-45</v>
      </c>
      <c r="V154" t="str">
        <f t="shared" si="19"/>
        <v>February</v>
      </c>
      <c r="W154" t="str">
        <f t="shared" si="20"/>
        <v>Q1</v>
      </c>
      <c r="X154">
        <f t="shared" si="21"/>
        <v>2026</v>
      </c>
      <c r="Y154" t="str">
        <f t="shared" si="26"/>
        <v>Low</v>
      </c>
      <c r="Z154" t="str">
        <f t="shared" si="22"/>
        <v>Discount Buyer</v>
      </c>
      <c r="AA154" t="str">
        <f t="shared" si="23"/>
        <v>VIP</v>
      </c>
      <c r="AB154" s="4">
        <f t="shared" ca="1" si="24"/>
        <v>42</v>
      </c>
      <c r="AC154" t="str">
        <f t="shared" ca="1" si="25"/>
        <v>At Risk</v>
      </c>
    </row>
    <row r="155" spans="1:29" x14ac:dyDescent="0.3">
      <c r="A155" t="s">
        <v>491</v>
      </c>
      <c r="B155" t="s">
        <v>111</v>
      </c>
      <c r="C155">
        <v>54</v>
      </c>
      <c r="D155" t="s">
        <v>38</v>
      </c>
      <c r="E155" t="s">
        <v>78</v>
      </c>
      <c r="F155" t="s">
        <v>79</v>
      </c>
      <c r="G155" t="s">
        <v>54</v>
      </c>
      <c r="H155" t="s">
        <v>26</v>
      </c>
      <c r="I155" t="s">
        <v>136</v>
      </c>
      <c r="J155" t="s">
        <v>455</v>
      </c>
      <c r="K155">
        <v>1</v>
      </c>
      <c r="L155">
        <v>583.86</v>
      </c>
      <c r="M155">
        <v>583.86</v>
      </c>
      <c r="N155" t="s">
        <v>98</v>
      </c>
      <c r="O155" t="s">
        <v>44</v>
      </c>
      <c r="P155" t="s">
        <v>74</v>
      </c>
      <c r="Q155" t="s">
        <v>99</v>
      </c>
      <c r="R155" t="s">
        <v>33</v>
      </c>
      <c r="S155" t="s">
        <v>48</v>
      </c>
      <c r="T155" t="s">
        <v>299</v>
      </c>
      <c r="U155" t="str">
        <f t="shared" si="18"/>
        <v>46-55</v>
      </c>
      <c r="V155" t="str">
        <f t="shared" si="19"/>
        <v>May</v>
      </c>
      <c r="W155" t="str">
        <f t="shared" si="20"/>
        <v>Q2</v>
      </c>
      <c r="X155">
        <f t="shared" si="21"/>
        <v>2025</v>
      </c>
      <c r="Y155" t="str">
        <f t="shared" si="26"/>
        <v>High</v>
      </c>
      <c r="Z155" t="str">
        <f t="shared" si="22"/>
        <v>Discount Buyer</v>
      </c>
      <c r="AA155" t="str">
        <f t="shared" si="23"/>
        <v>Regular</v>
      </c>
      <c r="AB155" s="4">
        <f t="shared" ca="1" si="24"/>
        <v>349</v>
      </c>
      <c r="AC155" t="str">
        <f t="shared" ca="1" si="25"/>
        <v>Churn Risk</v>
      </c>
    </row>
    <row r="156" spans="1:29" x14ac:dyDescent="0.3">
      <c r="A156" t="s">
        <v>492</v>
      </c>
      <c r="B156" t="s">
        <v>77</v>
      </c>
      <c r="C156">
        <v>36</v>
      </c>
      <c r="D156" t="s">
        <v>22</v>
      </c>
      <c r="E156" t="s">
        <v>62</v>
      </c>
      <c r="F156" t="s">
        <v>53</v>
      </c>
      <c r="G156" t="s">
        <v>152</v>
      </c>
      <c r="H156" t="s">
        <v>129</v>
      </c>
      <c r="I156" t="s">
        <v>148</v>
      </c>
      <c r="J156" t="s">
        <v>493</v>
      </c>
      <c r="K156">
        <v>7</v>
      </c>
      <c r="L156">
        <v>886.88</v>
      </c>
      <c r="M156">
        <v>6208.16</v>
      </c>
      <c r="N156" t="s">
        <v>108</v>
      </c>
      <c r="O156" t="s">
        <v>30</v>
      </c>
      <c r="P156" t="s">
        <v>74</v>
      </c>
      <c r="Q156" t="s">
        <v>59</v>
      </c>
      <c r="R156" t="s">
        <v>33</v>
      </c>
      <c r="S156" t="s">
        <v>34</v>
      </c>
      <c r="T156" t="s">
        <v>392</v>
      </c>
      <c r="U156" t="str">
        <f t="shared" si="18"/>
        <v>36-45</v>
      </c>
      <c r="V156" t="str">
        <f t="shared" si="19"/>
        <v>June</v>
      </c>
      <c r="W156" t="str">
        <f t="shared" si="20"/>
        <v>Q2</v>
      </c>
      <c r="X156">
        <f t="shared" si="21"/>
        <v>2025</v>
      </c>
      <c r="Y156" t="str">
        <f t="shared" si="26"/>
        <v>Low</v>
      </c>
      <c r="Z156" t="str">
        <f t="shared" si="22"/>
        <v>Discount Buyer</v>
      </c>
      <c r="AA156" t="str">
        <f t="shared" si="23"/>
        <v>Premium</v>
      </c>
      <c r="AB156" s="4">
        <f t="shared" ca="1" si="24"/>
        <v>243</v>
      </c>
      <c r="AC156" t="str">
        <f t="shared" ca="1" si="25"/>
        <v>Churn Risk</v>
      </c>
    </row>
    <row r="157" spans="1:29" x14ac:dyDescent="0.3">
      <c r="A157" t="s">
        <v>494</v>
      </c>
      <c r="B157" t="s">
        <v>120</v>
      </c>
      <c r="C157">
        <v>57</v>
      </c>
      <c r="D157" t="s">
        <v>38</v>
      </c>
      <c r="E157" t="s">
        <v>78</v>
      </c>
      <c r="F157" t="s">
        <v>79</v>
      </c>
      <c r="G157" t="s">
        <v>25</v>
      </c>
      <c r="H157" t="s">
        <v>26</v>
      </c>
      <c r="I157" t="s">
        <v>27</v>
      </c>
      <c r="J157" t="s">
        <v>429</v>
      </c>
      <c r="K157">
        <v>4</v>
      </c>
      <c r="L157">
        <v>3328</v>
      </c>
      <c r="M157">
        <v>13312</v>
      </c>
      <c r="N157" t="s">
        <v>67</v>
      </c>
      <c r="O157" t="s">
        <v>30</v>
      </c>
      <c r="P157" t="s">
        <v>74</v>
      </c>
      <c r="Q157" t="s">
        <v>99</v>
      </c>
      <c r="R157" t="s">
        <v>47</v>
      </c>
      <c r="S157" t="s">
        <v>83</v>
      </c>
      <c r="T157" t="s">
        <v>495</v>
      </c>
      <c r="U157" t="str">
        <f t="shared" si="18"/>
        <v>55+</v>
      </c>
      <c r="V157" t="str">
        <f t="shared" si="19"/>
        <v>January</v>
      </c>
      <c r="W157" t="str">
        <f t="shared" si="20"/>
        <v>Q1</v>
      </c>
      <c r="X157">
        <f t="shared" si="21"/>
        <v>2026</v>
      </c>
      <c r="Y157" t="str">
        <f t="shared" si="26"/>
        <v>High</v>
      </c>
      <c r="Z157" t="str">
        <f t="shared" si="22"/>
        <v>Regular Buyer</v>
      </c>
      <c r="AA157" t="str">
        <f t="shared" si="23"/>
        <v>VIP</v>
      </c>
      <c r="AB157" s="4">
        <f t="shared" ca="1" si="24"/>
        <v>119</v>
      </c>
      <c r="AC157" t="str">
        <f t="shared" ca="1" si="25"/>
        <v>At Risk</v>
      </c>
    </row>
    <row r="158" spans="1:29" x14ac:dyDescent="0.3">
      <c r="A158" t="s">
        <v>496</v>
      </c>
      <c r="B158" t="s">
        <v>21</v>
      </c>
      <c r="C158">
        <v>42</v>
      </c>
      <c r="D158" t="s">
        <v>22</v>
      </c>
      <c r="E158" t="s">
        <v>62</v>
      </c>
      <c r="F158" t="s">
        <v>53</v>
      </c>
      <c r="G158" t="s">
        <v>63</v>
      </c>
      <c r="H158" t="s">
        <v>26</v>
      </c>
      <c r="I158" t="s">
        <v>140</v>
      </c>
      <c r="J158" t="s">
        <v>497</v>
      </c>
      <c r="K158">
        <v>4</v>
      </c>
      <c r="L158">
        <v>169.18</v>
      </c>
      <c r="M158">
        <v>676.72</v>
      </c>
      <c r="N158" t="s">
        <v>98</v>
      </c>
      <c r="O158" t="s">
        <v>44</v>
      </c>
      <c r="P158" t="s">
        <v>45</v>
      </c>
      <c r="Q158" t="s">
        <v>59</v>
      </c>
      <c r="R158" t="s">
        <v>33</v>
      </c>
      <c r="S158" t="s">
        <v>34</v>
      </c>
      <c r="T158" t="s">
        <v>498</v>
      </c>
      <c r="U158" t="str">
        <f t="shared" si="18"/>
        <v>36-45</v>
      </c>
      <c r="V158" t="str">
        <f t="shared" si="19"/>
        <v>March</v>
      </c>
      <c r="W158" t="str">
        <f t="shared" si="20"/>
        <v>Q1</v>
      </c>
      <c r="X158">
        <f t="shared" si="21"/>
        <v>2025</v>
      </c>
      <c r="Y158" t="str">
        <f t="shared" si="26"/>
        <v>High</v>
      </c>
      <c r="Z158" t="str">
        <f t="shared" si="22"/>
        <v>Discount Buyer</v>
      </c>
      <c r="AA158" t="str">
        <f t="shared" si="23"/>
        <v>Regular</v>
      </c>
      <c r="AB158" s="4">
        <f t="shared" ca="1" si="24"/>
        <v>390</v>
      </c>
      <c r="AC158" t="str">
        <f t="shared" ca="1" si="25"/>
        <v>Churn Risk</v>
      </c>
    </row>
    <row r="159" spans="1:29" x14ac:dyDescent="0.3">
      <c r="A159" t="s">
        <v>499</v>
      </c>
      <c r="B159" t="s">
        <v>120</v>
      </c>
      <c r="C159">
        <v>57</v>
      </c>
      <c r="D159" t="s">
        <v>22</v>
      </c>
      <c r="E159" t="s">
        <v>87</v>
      </c>
      <c r="F159" t="s">
        <v>79</v>
      </c>
      <c r="G159" t="s">
        <v>152</v>
      </c>
      <c r="H159" t="s">
        <v>64</v>
      </c>
      <c r="I159" t="s">
        <v>189</v>
      </c>
      <c r="J159" t="s">
        <v>500</v>
      </c>
      <c r="K159">
        <v>1</v>
      </c>
      <c r="L159">
        <v>3445.53</v>
      </c>
      <c r="M159">
        <v>3445.53</v>
      </c>
      <c r="N159" t="s">
        <v>108</v>
      </c>
      <c r="O159" t="s">
        <v>30</v>
      </c>
      <c r="P159" t="s">
        <v>68</v>
      </c>
      <c r="Q159" t="s">
        <v>46</v>
      </c>
      <c r="R159" t="s">
        <v>33</v>
      </c>
      <c r="S159" t="s">
        <v>83</v>
      </c>
      <c r="T159" t="s">
        <v>501</v>
      </c>
      <c r="U159" t="str">
        <f t="shared" si="18"/>
        <v>55+</v>
      </c>
      <c r="V159" t="str">
        <f t="shared" si="19"/>
        <v>March</v>
      </c>
      <c r="W159" t="str">
        <f t="shared" si="20"/>
        <v>Q1</v>
      </c>
      <c r="X159">
        <f t="shared" si="21"/>
        <v>2026</v>
      </c>
      <c r="Y159" t="str">
        <f t="shared" si="26"/>
        <v>Low</v>
      </c>
      <c r="Z159" t="str">
        <f t="shared" si="22"/>
        <v>Discount Buyer</v>
      </c>
      <c r="AA159" t="str">
        <f t="shared" si="23"/>
        <v>Regular</v>
      </c>
      <c r="AB159" s="4">
        <f t="shared" ca="1" si="24"/>
        <v>48</v>
      </c>
      <c r="AC159" t="str">
        <f t="shared" ca="1" si="25"/>
        <v>At Risk</v>
      </c>
    </row>
    <row r="160" spans="1:29" x14ac:dyDescent="0.3">
      <c r="A160" t="s">
        <v>502</v>
      </c>
      <c r="B160" t="s">
        <v>95</v>
      </c>
      <c r="C160">
        <v>19</v>
      </c>
      <c r="D160" t="s">
        <v>22</v>
      </c>
      <c r="E160" t="s">
        <v>106</v>
      </c>
      <c r="F160" t="s">
        <v>40</v>
      </c>
      <c r="G160" t="s">
        <v>152</v>
      </c>
      <c r="H160" t="s">
        <v>26</v>
      </c>
      <c r="I160" t="s">
        <v>136</v>
      </c>
      <c r="J160" t="s">
        <v>462</v>
      </c>
      <c r="K160">
        <v>7</v>
      </c>
      <c r="L160">
        <v>1659.2</v>
      </c>
      <c r="M160">
        <v>11614.4</v>
      </c>
      <c r="N160" t="s">
        <v>29</v>
      </c>
      <c r="O160" t="s">
        <v>30</v>
      </c>
      <c r="P160" t="s">
        <v>68</v>
      </c>
      <c r="Q160" t="s">
        <v>32</v>
      </c>
      <c r="R160" t="s">
        <v>47</v>
      </c>
      <c r="S160" t="s">
        <v>34</v>
      </c>
      <c r="T160" t="s">
        <v>380</v>
      </c>
      <c r="U160" t="str">
        <f t="shared" si="18"/>
        <v>18-25</v>
      </c>
      <c r="V160" t="str">
        <f t="shared" si="19"/>
        <v>June</v>
      </c>
      <c r="W160" t="str">
        <f t="shared" si="20"/>
        <v>Q2</v>
      </c>
      <c r="X160">
        <f t="shared" si="21"/>
        <v>2025</v>
      </c>
      <c r="Y160" t="str">
        <f t="shared" si="26"/>
        <v>Medium</v>
      </c>
      <c r="Z160" t="str">
        <f t="shared" si="22"/>
        <v>Regular Buyer</v>
      </c>
      <c r="AA160" t="str">
        <f t="shared" si="23"/>
        <v>VIP</v>
      </c>
      <c r="AB160" s="4">
        <f t="shared" ca="1" si="24"/>
        <v>344</v>
      </c>
      <c r="AC160" t="str">
        <f t="shared" ca="1" si="25"/>
        <v>Churn Risk</v>
      </c>
    </row>
    <row r="161" spans="1:29" x14ac:dyDescent="0.3">
      <c r="A161" t="s">
        <v>503</v>
      </c>
      <c r="B161" t="s">
        <v>21</v>
      </c>
      <c r="C161">
        <v>45</v>
      </c>
      <c r="D161" t="s">
        <v>38</v>
      </c>
      <c r="E161" t="s">
        <v>163</v>
      </c>
      <c r="F161" t="s">
        <v>135</v>
      </c>
      <c r="G161" t="s">
        <v>25</v>
      </c>
      <c r="H161" t="s">
        <v>55</v>
      </c>
      <c r="I161" t="s">
        <v>122</v>
      </c>
      <c r="J161" t="s">
        <v>504</v>
      </c>
      <c r="K161">
        <v>3</v>
      </c>
      <c r="L161">
        <v>1915.39</v>
      </c>
      <c r="M161">
        <v>5746.17</v>
      </c>
      <c r="N161" t="s">
        <v>108</v>
      </c>
      <c r="O161" t="s">
        <v>44</v>
      </c>
      <c r="P161" t="s">
        <v>74</v>
      </c>
      <c r="Q161" t="s">
        <v>32</v>
      </c>
      <c r="R161" t="s">
        <v>47</v>
      </c>
      <c r="S161" t="s">
        <v>142</v>
      </c>
      <c r="T161" t="s">
        <v>432</v>
      </c>
      <c r="U161" t="str">
        <f t="shared" si="18"/>
        <v>36-45</v>
      </c>
      <c r="V161" t="str">
        <f t="shared" si="19"/>
        <v>January</v>
      </c>
      <c r="W161" t="str">
        <f t="shared" si="20"/>
        <v>Q1</v>
      </c>
      <c r="X161">
        <f t="shared" si="21"/>
        <v>2026</v>
      </c>
      <c r="Y161" t="str">
        <f t="shared" si="26"/>
        <v>High</v>
      </c>
      <c r="Z161" t="str">
        <f t="shared" si="22"/>
        <v>Regular Buyer</v>
      </c>
      <c r="AA161" t="str">
        <f t="shared" si="23"/>
        <v>Premium</v>
      </c>
      <c r="AB161" s="4">
        <f t="shared" ca="1" si="24"/>
        <v>34</v>
      </c>
      <c r="AC161" t="str">
        <f t="shared" ca="1" si="25"/>
        <v>At Risk</v>
      </c>
    </row>
    <row r="162" spans="1:29" x14ac:dyDescent="0.3">
      <c r="A162" t="s">
        <v>505</v>
      </c>
      <c r="B162" t="s">
        <v>37</v>
      </c>
      <c r="C162">
        <v>60</v>
      </c>
      <c r="D162" t="s">
        <v>22</v>
      </c>
      <c r="E162" t="s">
        <v>163</v>
      </c>
      <c r="F162" t="s">
        <v>135</v>
      </c>
      <c r="G162" t="s">
        <v>80</v>
      </c>
      <c r="H162" t="s">
        <v>129</v>
      </c>
      <c r="I162" t="s">
        <v>167</v>
      </c>
      <c r="J162" t="s">
        <v>493</v>
      </c>
      <c r="K162">
        <v>2</v>
      </c>
      <c r="L162">
        <v>3522.85</v>
      </c>
      <c r="M162">
        <v>7045.7</v>
      </c>
      <c r="N162" t="s">
        <v>98</v>
      </c>
      <c r="O162" t="s">
        <v>30</v>
      </c>
      <c r="P162" t="s">
        <v>74</v>
      </c>
      <c r="Q162" t="s">
        <v>32</v>
      </c>
      <c r="R162" t="s">
        <v>33</v>
      </c>
      <c r="S162" t="s">
        <v>48</v>
      </c>
      <c r="T162" t="s">
        <v>232</v>
      </c>
      <c r="U162" t="str">
        <f t="shared" si="18"/>
        <v>55+</v>
      </c>
      <c r="V162" t="str">
        <f t="shared" si="19"/>
        <v>June</v>
      </c>
      <c r="W162" t="str">
        <f t="shared" si="20"/>
        <v>Q2</v>
      </c>
      <c r="X162">
        <f t="shared" si="21"/>
        <v>2025</v>
      </c>
      <c r="Y162" t="str">
        <f t="shared" si="26"/>
        <v>High</v>
      </c>
      <c r="Z162" t="str">
        <f t="shared" si="22"/>
        <v>Discount Buyer</v>
      </c>
      <c r="AA162" t="str">
        <f t="shared" si="23"/>
        <v>Premium</v>
      </c>
      <c r="AB162" s="4">
        <f t="shared" ca="1" si="24"/>
        <v>335</v>
      </c>
      <c r="AC162" t="str">
        <f t="shared" ca="1" si="25"/>
        <v>Churn Risk</v>
      </c>
    </row>
    <row r="163" spans="1:29" x14ac:dyDescent="0.3">
      <c r="A163" t="s">
        <v>506</v>
      </c>
      <c r="B163" t="s">
        <v>51</v>
      </c>
      <c r="C163">
        <v>54</v>
      </c>
      <c r="D163" t="s">
        <v>22</v>
      </c>
      <c r="E163" t="s">
        <v>163</v>
      </c>
      <c r="F163" t="s">
        <v>135</v>
      </c>
      <c r="G163" t="s">
        <v>25</v>
      </c>
      <c r="H163" t="s">
        <v>55</v>
      </c>
      <c r="I163" t="s">
        <v>122</v>
      </c>
      <c r="J163" t="s">
        <v>244</v>
      </c>
      <c r="K163">
        <v>5</v>
      </c>
      <c r="L163">
        <v>1202.9000000000001</v>
      </c>
      <c r="M163">
        <v>6014.5</v>
      </c>
      <c r="N163" t="s">
        <v>29</v>
      </c>
      <c r="O163" t="s">
        <v>30</v>
      </c>
      <c r="P163" t="s">
        <v>31</v>
      </c>
      <c r="Q163" t="s">
        <v>99</v>
      </c>
      <c r="R163" t="s">
        <v>33</v>
      </c>
      <c r="S163" t="s">
        <v>48</v>
      </c>
      <c r="T163" t="s">
        <v>507</v>
      </c>
      <c r="U163" t="str">
        <f t="shared" si="18"/>
        <v>46-55</v>
      </c>
      <c r="V163" t="str">
        <f t="shared" si="19"/>
        <v>March</v>
      </c>
      <c r="W163" t="str">
        <f t="shared" si="20"/>
        <v>Q1</v>
      </c>
      <c r="X163">
        <f t="shared" si="21"/>
        <v>2026</v>
      </c>
      <c r="Y163" t="str">
        <f t="shared" si="26"/>
        <v>High</v>
      </c>
      <c r="Z163" t="str">
        <f t="shared" si="22"/>
        <v>Discount Buyer</v>
      </c>
      <c r="AA163" t="str">
        <f t="shared" si="23"/>
        <v>Premium</v>
      </c>
      <c r="AB163" s="4">
        <f t="shared" ca="1" si="24"/>
        <v>40</v>
      </c>
      <c r="AC163" t="str">
        <f t="shared" ca="1" si="25"/>
        <v>At Risk</v>
      </c>
    </row>
    <row r="164" spans="1:29" x14ac:dyDescent="0.3">
      <c r="A164" t="s">
        <v>508</v>
      </c>
      <c r="B164" t="s">
        <v>77</v>
      </c>
      <c r="C164">
        <v>44</v>
      </c>
      <c r="D164" t="s">
        <v>22</v>
      </c>
      <c r="E164" t="s">
        <v>78</v>
      </c>
      <c r="F164" t="s">
        <v>79</v>
      </c>
      <c r="G164" t="s">
        <v>152</v>
      </c>
      <c r="H164" t="s">
        <v>55</v>
      </c>
      <c r="I164" t="s">
        <v>56</v>
      </c>
      <c r="J164" t="s">
        <v>509</v>
      </c>
      <c r="K164">
        <v>2</v>
      </c>
      <c r="L164">
        <v>3588.5</v>
      </c>
      <c r="M164">
        <v>7177</v>
      </c>
      <c r="N164" t="s">
        <v>29</v>
      </c>
      <c r="O164" t="s">
        <v>30</v>
      </c>
      <c r="P164" t="s">
        <v>74</v>
      </c>
      <c r="Q164" t="s">
        <v>32</v>
      </c>
      <c r="R164" t="s">
        <v>33</v>
      </c>
      <c r="S164" t="s">
        <v>34</v>
      </c>
      <c r="T164" t="s">
        <v>290</v>
      </c>
      <c r="U164" t="str">
        <f t="shared" si="18"/>
        <v>36-45</v>
      </c>
      <c r="V164" t="str">
        <f t="shared" si="19"/>
        <v>October</v>
      </c>
      <c r="W164" t="str">
        <f t="shared" si="20"/>
        <v>Q4</v>
      </c>
      <c r="X164">
        <f t="shared" si="21"/>
        <v>2025</v>
      </c>
      <c r="Y164" t="str">
        <f t="shared" si="26"/>
        <v>High</v>
      </c>
      <c r="Z164" t="str">
        <f t="shared" si="22"/>
        <v>Discount Buyer</v>
      </c>
      <c r="AA164" t="str">
        <f t="shared" si="23"/>
        <v>Premium</v>
      </c>
      <c r="AB164" s="4">
        <f t="shared" ca="1" si="24"/>
        <v>198</v>
      </c>
      <c r="AC164" t="str">
        <f t="shared" ca="1" si="25"/>
        <v>Churn Risk</v>
      </c>
    </row>
    <row r="165" spans="1:29" x14ac:dyDescent="0.3">
      <c r="A165" t="s">
        <v>510</v>
      </c>
      <c r="B165" t="s">
        <v>77</v>
      </c>
      <c r="C165">
        <v>31</v>
      </c>
      <c r="D165" t="s">
        <v>38</v>
      </c>
      <c r="E165" t="s">
        <v>87</v>
      </c>
      <c r="F165" t="s">
        <v>79</v>
      </c>
      <c r="G165" t="s">
        <v>152</v>
      </c>
      <c r="H165" t="s">
        <v>129</v>
      </c>
      <c r="I165" t="s">
        <v>167</v>
      </c>
      <c r="J165" t="s">
        <v>399</v>
      </c>
      <c r="K165">
        <v>5</v>
      </c>
      <c r="L165">
        <v>4463.9399999999996</v>
      </c>
      <c r="M165">
        <v>22319.7</v>
      </c>
      <c r="N165" t="s">
        <v>108</v>
      </c>
      <c r="O165" t="s">
        <v>30</v>
      </c>
      <c r="P165" t="s">
        <v>74</v>
      </c>
      <c r="Q165" t="s">
        <v>46</v>
      </c>
      <c r="R165" t="s">
        <v>47</v>
      </c>
      <c r="S165" t="s">
        <v>83</v>
      </c>
      <c r="T165" t="s">
        <v>511</v>
      </c>
      <c r="U165" t="str">
        <f t="shared" si="18"/>
        <v>26-35</v>
      </c>
      <c r="V165" t="str">
        <f t="shared" si="19"/>
        <v>December</v>
      </c>
      <c r="W165" t="str">
        <f t="shared" si="20"/>
        <v>Q4</v>
      </c>
      <c r="X165">
        <f t="shared" si="21"/>
        <v>2025</v>
      </c>
      <c r="Y165" t="str">
        <f t="shared" si="26"/>
        <v>High</v>
      </c>
      <c r="Z165" t="str">
        <f t="shared" si="22"/>
        <v>Regular Buyer</v>
      </c>
      <c r="AA165" t="str">
        <f t="shared" si="23"/>
        <v>VIP</v>
      </c>
      <c r="AB165" s="4">
        <f t="shared" ca="1" si="24"/>
        <v>129</v>
      </c>
      <c r="AC165" t="str">
        <f t="shared" ca="1" si="25"/>
        <v>At Risk</v>
      </c>
    </row>
    <row r="166" spans="1:29" x14ac:dyDescent="0.3">
      <c r="A166" t="s">
        <v>512</v>
      </c>
      <c r="B166" t="s">
        <v>37</v>
      </c>
      <c r="C166">
        <v>58</v>
      </c>
      <c r="D166" t="s">
        <v>38</v>
      </c>
      <c r="E166" t="s">
        <v>106</v>
      </c>
      <c r="F166" t="s">
        <v>40</v>
      </c>
      <c r="G166" t="s">
        <v>80</v>
      </c>
      <c r="H166" t="s">
        <v>41</v>
      </c>
      <c r="I166" t="s">
        <v>272</v>
      </c>
      <c r="J166" t="s">
        <v>513</v>
      </c>
      <c r="K166">
        <v>8</v>
      </c>
      <c r="L166">
        <v>381.79</v>
      </c>
      <c r="M166">
        <v>3054.32</v>
      </c>
      <c r="N166" t="s">
        <v>58</v>
      </c>
      <c r="O166" t="s">
        <v>30</v>
      </c>
      <c r="P166" t="s">
        <v>31</v>
      </c>
      <c r="Q166" t="s">
        <v>46</v>
      </c>
      <c r="R166" t="s">
        <v>47</v>
      </c>
      <c r="S166" t="s">
        <v>83</v>
      </c>
      <c r="T166" t="s">
        <v>310</v>
      </c>
      <c r="U166" t="str">
        <f t="shared" si="18"/>
        <v>55+</v>
      </c>
      <c r="V166" t="str">
        <f t="shared" si="19"/>
        <v>October</v>
      </c>
      <c r="W166" t="str">
        <f t="shared" si="20"/>
        <v>Q4</v>
      </c>
      <c r="X166">
        <f t="shared" si="21"/>
        <v>2025</v>
      </c>
      <c r="Y166" t="str">
        <f t="shared" si="26"/>
        <v>High</v>
      </c>
      <c r="Z166" t="str">
        <f t="shared" si="22"/>
        <v>Regular Buyer</v>
      </c>
      <c r="AA166" t="str">
        <f t="shared" si="23"/>
        <v>Regular</v>
      </c>
      <c r="AB166" s="4">
        <f t="shared" ca="1" si="24"/>
        <v>171</v>
      </c>
      <c r="AC166" t="str">
        <f t="shared" ca="1" si="25"/>
        <v>At Risk</v>
      </c>
    </row>
    <row r="167" spans="1:29" x14ac:dyDescent="0.3">
      <c r="A167" t="s">
        <v>514</v>
      </c>
      <c r="B167" t="s">
        <v>37</v>
      </c>
      <c r="C167">
        <v>35</v>
      </c>
      <c r="D167" t="s">
        <v>38</v>
      </c>
      <c r="E167" t="s">
        <v>23</v>
      </c>
      <c r="F167" t="s">
        <v>24</v>
      </c>
      <c r="G167" t="s">
        <v>152</v>
      </c>
      <c r="H167" t="s">
        <v>64</v>
      </c>
      <c r="I167" t="s">
        <v>189</v>
      </c>
      <c r="J167" t="s">
        <v>82</v>
      </c>
      <c r="K167">
        <v>3</v>
      </c>
      <c r="L167">
        <v>3318.05</v>
      </c>
      <c r="M167">
        <v>9954.15</v>
      </c>
      <c r="N167" t="s">
        <v>58</v>
      </c>
      <c r="O167" t="s">
        <v>44</v>
      </c>
      <c r="P167" t="s">
        <v>45</v>
      </c>
      <c r="Q167" t="s">
        <v>99</v>
      </c>
      <c r="R167" t="s">
        <v>33</v>
      </c>
      <c r="S167" t="s">
        <v>34</v>
      </c>
      <c r="T167" t="s">
        <v>507</v>
      </c>
      <c r="U167" t="str">
        <f t="shared" si="18"/>
        <v>26-35</v>
      </c>
      <c r="V167" t="str">
        <f t="shared" si="19"/>
        <v>January</v>
      </c>
      <c r="W167" t="str">
        <f t="shared" si="20"/>
        <v>Q1</v>
      </c>
      <c r="X167">
        <f t="shared" si="21"/>
        <v>2026</v>
      </c>
      <c r="Y167" t="str">
        <f t="shared" si="26"/>
        <v>Medium</v>
      </c>
      <c r="Z167" t="str">
        <f t="shared" si="22"/>
        <v>Discount Buyer</v>
      </c>
      <c r="AA167" t="str">
        <f t="shared" si="23"/>
        <v>Premium</v>
      </c>
      <c r="AB167" s="4">
        <f t="shared" ca="1" si="24"/>
        <v>40</v>
      </c>
      <c r="AC167" t="str">
        <f t="shared" ca="1" si="25"/>
        <v>At Risk</v>
      </c>
    </row>
    <row r="168" spans="1:29" x14ac:dyDescent="0.3">
      <c r="A168" t="s">
        <v>515</v>
      </c>
      <c r="B168" t="s">
        <v>120</v>
      </c>
      <c r="C168">
        <v>34</v>
      </c>
      <c r="D168" t="s">
        <v>22</v>
      </c>
      <c r="E168" t="s">
        <v>39</v>
      </c>
      <c r="F168" t="s">
        <v>40</v>
      </c>
      <c r="G168" t="s">
        <v>25</v>
      </c>
      <c r="H168" t="s">
        <v>55</v>
      </c>
      <c r="I168" t="s">
        <v>96</v>
      </c>
      <c r="J168" t="s">
        <v>516</v>
      </c>
      <c r="K168">
        <v>6</v>
      </c>
      <c r="L168">
        <v>3274.94</v>
      </c>
      <c r="M168">
        <v>19649.64</v>
      </c>
      <c r="N168" t="s">
        <v>67</v>
      </c>
      <c r="O168" t="s">
        <v>30</v>
      </c>
      <c r="P168" t="s">
        <v>74</v>
      </c>
      <c r="Q168" t="s">
        <v>46</v>
      </c>
      <c r="R168" t="s">
        <v>33</v>
      </c>
      <c r="S168" t="s">
        <v>142</v>
      </c>
      <c r="T168" t="s">
        <v>316</v>
      </c>
      <c r="U168" t="str">
        <f t="shared" si="18"/>
        <v>26-35</v>
      </c>
      <c r="V168" t="str">
        <f t="shared" si="19"/>
        <v>February</v>
      </c>
      <c r="W168" t="str">
        <f t="shared" si="20"/>
        <v>Q1</v>
      </c>
      <c r="X168">
        <f t="shared" si="21"/>
        <v>2026</v>
      </c>
      <c r="Y168" t="str">
        <f t="shared" si="26"/>
        <v>High</v>
      </c>
      <c r="Z168" t="str">
        <f t="shared" si="22"/>
        <v>Discount Buyer</v>
      </c>
      <c r="AA168" t="str">
        <f t="shared" si="23"/>
        <v>VIP</v>
      </c>
      <c r="AB168" s="4">
        <f t="shared" ca="1" si="24"/>
        <v>27</v>
      </c>
      <c r="AC168" t="str">
        <f t="shared" ca="1" si="25"/>
        <v>Active</v>
      </c>
    </row>
    <row r="169" spans="1:29" x14ac:dyDescent="0.3">
      <c r="A169" t="s">
        <v>517</v>
      </c>
      <c r="B169" t="s">
        <v>120</v>
      </c>
      <c r="C169">
        <v>40</v>
      </c>
      <c r="D169" t="s">
        <v>22</v>
      </c>
      <c r="E169" t="s">
        <v>134</v>
      </c>
      <c r="F169" t="s">
        <v>135</v>
      </c>
      <c r="G169" t="s">
        <v>152</v>
      </c>
      <c r="H169" t="s">
        <v>129</v>
      </c>
      <c r="I169" t="s">
        <v>167</v>
      </c>
      <c r="J169" t="s">
        <v>518</v>
      </c>
      <c r="K169">
        <v>7</v>
      </c>
      <c r="L169">
        <v>4908.66</v>
      </c>
      <c r="M169">
        <v>34360.620000000003</v>
      </c>
      <c r="N169" t="s">
        <v>58</v>
      </c>
      <c r="O169" t="s">
        <v>44</v>
      </c>
      <c r="P169" t="s">
        <v>68</v>
      </c>
      <c r="Q169" t="s">
        <v>99</v>
      </c>
      <c r="R169" t="s">
        <v>47</v>
      </c>
      <c r="S169" t="s">
        <v>142</v>
      </c>
      <c r="T169" t="s">
        <v>446</v>
      </c>
      <c r="U169" t="str">
        <f t="shared" si="18"/>
        <v>36-45</v>
      </c>
      <c r="V169" t="str">
        <f t="shared" si="19"/>
        <v>October</v>
      </c>
      <c r="W169" t="str">
        <f t="shared" si="20"/>
        <v>Q4</v>
      </c>
      <c r="X169">
        <f t="shared" si="21"/>
        <v>2025</v>
      </c>
      <c r="Y169" t="str">
        <f t="shared" si="26"/>
        <v>High</v>
      </c>
      <c r="Z169" t="str">
        <f t="shared" si="22"/>
        <v>Regular Buyer</v>
      </c>
      <c r="AA169" t="str">
        <f t="shared" si="23"/>
        <v>VIP</v>
      </c>
      <c r="AB169" s="4">
        <f t="shared" ca="1" si="24"/>
        <v>217</v>
      </c>
      <c r="AC169" t="str">
        <f t="shared" ca="1" si="25"/>
        <v>Churn Risk</v>
      </c>
    </row>
    <row r="170" spans="1:29" x14ac:dyDescent="0.3">
      <c r="A170" t="s">
        <v>519</v>
      </c>
      <c r="B170" t="s">
        <v>51</v>
      </c>
      <c r="C170">
        <v>24</v>
      </c>
      <c r="D170" t="s">
        <v>22</v>
      </c>
      <c r="E170" t="s">
        <v>163</v>
      </c>
      <c r="F170" t="s">
        <v>135</v>
      </c>
      <c r="G170" t="s">
        <v>72</v>
      </c>
      <c r="H170" t="s">
        <v>26</v>
      </c>
      <c r="I170" t="s">
        <v>27</v>
      </c>
      <c r="J170" t="s">
        <v>520</v>
      </c>
      <c r="K170">
        <v>1</v>
      </c>
      <c r="L170">
        <v>1102.1600000000001</v>
      </c>
      <c r="M170">
        <v>1102.1600000000001</v>
      </c>
      <c r="N170" t="s">
        <v>67</v>
      </c>
      <c r="O170" t="s">
        <v>30</v>
      </c>
      <c r="P170" t="s">
        <v>45</v>
      </c>
      <c r="Q170" t="s">
        <v>99</v>
      </c>
      <c r="R170" t="s">
        <v>33</v>
      </c>
      <c r="S170" t="s">
        <v>48</v>
      </c>
      <c r="T170" t="s">
        <v>464</v>
      </c>
      <c r="U170" t="str">
        <f t="shared" si="18"/>
        <v>18-25</v>
      </c>
      <c r="V170" t="str">
        <f t="shared" si="19"/>
        <v>October</v>
      </c>
      <c r="W170" t="str">
        <f t="shared" si="20"/>
        <v>Q4</v>
      </c>
      <c r="X170">
        <f t="shared" si="21"/>
        <v>2025</v>
      </c>
      <c r="Y170" t="str">
        <f t="shared" si="26"/>
        <v>High</v>
      </c>
      <c r="Z170" t="str">
        <f t="shared" si="22"/>
        <v>Discount Buyer</v>
      </c>
      <c r="AA170" t="str">
        <f t="shared" si="23"/>
        <v>Regular</v>
      </c>
      <c r="AB170" s="4">
        <f t="shared" ca="1" si="24"/>
        <v>208</v>
      </c>
      <c r="AC170" t="str">
        <f t="shared" ca="1" si="25"/>
        <v>Churn Risk</v>
      </c>
    </row>
    <row r="171" spans="1:29" x14ac:dyDescent="0.3">
      <c r="A171" t="s">
        <v>521</v>
      </c>
      <c r="B171" t="s">
        <v>95</v>
      </c>
      <c r="C171">
        <v>21</v>
      </c>
      <c r="D171" t="s">
        <v>22</v>
      </c>
      <c r="E171" t="s">
        <v>39</v>
      </c>
      <c r="F171" t="s">
        <v>40</v>
      </c>
      <c r="G171" t="s">
        <v>63</v>
      </c>
      <c r="H171" t="s">
        <v>55</v>
      </c>
      <c r="I171" t="s">
        <v>122</v>
      </c>
      <c r="J171" t="s">
        <v>394</v>
      </c>
      <c r="K171">
        <v>8</v>
      </c>
      <c r="L171">
        <v>2369.39</v>
      </c>
      <c r="M171">
        <v>18955.12</v>
      </c>
      <c r="N171" t="s">
        <v>108</v>
      </c>
      <c r="O171" t="s">
        <v>44</v>
      </c>
      <c r="P171" t="s">
        <v>31</v>
      </c>
      <c r="Q171" t="s">
        <v>46</v>
      </c>
      <c r="R171" t="s">
        <v>47</v>
      </c>
      <c r="S171" t="s">
        <v>34</v>
      </c>
      <c r="T171" t="s">
        <v>522</v>
      </c>
      <c r="U171" t="str">
        <f t="shared" si="18"/>
        <v>18-25</v>
      </c>
      <c r="V171" t="str">
        <f t="shared" si="19"/>
        <v>August</v>
      </c>
      <c r="W171" t="str">
        <f t="shared" si="20"/>
        <v>Q3</v>
      </c>
      <c r="X171">
        <f t="shared" si="21"/>
        <v>2025</v>
      </c>
      <c r="Y171" t="str">
        <f t="shared" si="26"/>
        <v>Medium</v>
      </c>
      <c r="Z171" t="str">
        <f t="shared" si="22"/>
        <v>Regular Buyer</v>
      </c>
      <c r="AA171" t="str">
        <f t="shared" si="23"/>
        <v>VIP</v>
      </c>
      <c r="AB171" s="4">
        <f t="shared" ca="1" si="24"/>
        <v>192</v>
      </c>
      <c r="AC171" t="str">
        <f t="shared" ca="1" si="25"/>
        <v>Churn Risk</v>
      </c>
    </row>
    <row r="172" spans="1:29" x14ac:dyDescent="0.3">
      <c r="A172" t="s">
        <v>523</v>
      </c>
      <c r="B172" t="s">
        <v>71</v>
      </c>
      <c r="C172">
        <v>52</v>
      </c>
      <c r="D172" t="s">
        <v>38</v>
      </c>
      <c r="E172" t="s">
        <v>121</v>
      </c>
      <c r="F172" t="s">
        <v>24</v>
      </c>
      <c r="G172" t="s">
        <v>25</v>
      </c>
      <c r="H172" t="s">
        <v>115</v>
      </c>
      <c r="I172" t="s">
        <v>176</v>
      </c>
      <c r="J172" t="s">
        <v>522</v>
      </c>
      <c r="K172">
        <v>7</v>
      </c>
      <c r="L172">
        <v>3973.13</v>
      </c>
      <c r="M172">
        <v>27811.91</v>
      </c>
      <c r="N172" t="s">
        <v>108</v>
      </c>
      <c r="O172" t="s">
        <v>30</v>
      </c>
      <c r="P172" t="s">
        <v>31</v>
      </c>
      <c r="Q172" t="s">
        <v>46</v>
      </c>
      <c r="R172" t="s">
        <v>33</v>
      </c>
      <c r="S172" t="s">
        <v>48</v>
      </c>
      <c r="T172" t="s">
        <v>524</v>
      </c>
      <c r="U172" t="str">
        <f t="shared" si="18"/>
        <v>46-55</v>
      </c>
      <c r="V172" t="str">
        <f t="shared" si="19"/>
        <v>November</v>
      </c>
      <c r="W172" t="str">
        <f t="shared" si="20"/>
        <v>Q4</v>
      </c>
      <c r="X172">
        <f t="shared" si="21"/>
        <v>2025</v>
      </c>
      <c r="Y172" t="str">
        <f t="shared" si="26"/>
        <v>High</v>
      </c>
      <c r="Z172" t="str">
        <f t="shared" si="22"/>
        <v>Discount Buyer</v>
      </c>
      <c r="AA172" t="str">
        <f t="shared" si="23"/>
        <v>VIP</v>
      </c>
      <c r="AB172" s="4">
        <f t="shared" ca="1" si="24"/>
        <v>87</v>
      </c>
      <c r="AC172" t="str">
        <f t="shared" ca="1" si="25"/>
        <v>At Risk</v>
      </c>
    </row>
    <row r="173" spans="1:29" x14ac:dyDescent="0.3">
      <c r="A173" t="s">
        <v>525</v>
      </c>
      <c r="B173" t="s">
        <v>37</v>
      </c>
      <c r="C173">
        <v>38</v>
      </c>
      <c r="D173" t="s">
        <v>22</v>
      </c>
      <c r="E173" t="s">
        <v>62</v>
      </c>
      <c r="F173" t="s">
        <v>53</v>
      </c>
      <c r="G173" t="s">
        <v>25</v>
      </c>
      <c r="H173" t="s">
        <v>41</v>
      </c>
      <c r="I173" t="s">
        <v>42</v>
      </c>
      <c r="J173" t="s">
        <v>467</v>
      </c>
      <c r="K173">
        <v>7</v>
      </c>
      <c r="L173">
        <v>2806.9</v>
      </c>
      <c r="M173">
        <v>19648.3</v>
      </c>
      <c r="N173" t="s">
        <v>108</v>
      </c>
      <c r="O173" t="s">
        <v>30</v>
      </c>
      <c r="P173" t="s">
        <v>68</v>
      </c>
      <c r="Q173" t="s">
        <v>46</v>
      </c>
      <c r="R173" t="s">
        <v>47</v>
      </c>
      <c r="S173" t="s">
        <v>142</v>
      </c>
      <c r="T173" t="s">
        <v>526</v>
      </c>
      <c r="U173" t="str">
        <f t="shared" si="18"/>
        <v>36-45</v>
      </c>
      <c r="V173" t="str">
        <f t="shared" si="19"/>
        <v>April</v>
      </c>
      <c r="W173" t="str">
        <f t="shared" si="20"/>
        <v>Q2</v>
      </c>
      <c r="X173">
        <f t="shared" si="21"/>
        <v>2025</v>
      </c>
      <c r="Y173" t="str">
        <f t="shared" si="26"/>
        <v>High</v>
      </c>
      <c r="Z173" t="str">
        <f t="shared" si="22"/>
        <v>Regular Buyer</v>
      </c>
      <c r="AA173" t="str">
        <f t="shared" si="23"/>
        <v>VIP</v>
      </c>
      <c r="AB173" s="4">
        <f t="shared" ca="1" si="24"/>
        <v>405</v>
      </c>
      <c r="AC173" t="str">
        <f t="shared" ca="1" si="25"/>
        <v>Churn Risk</v>
      </c>
    </row>
    <row r="174" spans="1:29" x14ac:dyDescent="0.3">
      <c r="A174" t="s">
        <v>527</v>
      </c>
      <c r="B174" t="s">
        <v>77</v>
      </c>
      <c r="C174">
        <v>47</v>
      </c>
      <c r="D174" t="s">
        <v>38</v>
      </c>
      <c r="E174" t="s">
        <v>134</v>
      </c>
      <c r="F174" t="s">
        <v>135</v>
      </c>
      <c r="G174" t="s">
        <v>25</v>
      </c>
      <c r="H174" t="s">
        <v>129</v>
      </c>
      <c r="I174" t="s">
        <v>148</v>
      </c>
      <c r="J174" t="s">
        <v>528</v>
      </c>
      <c r="K174">
        <v>1</v>
      </c>
      <c r="L174">
        <v>3992.43</v>
      </c>
      <c r="M174">
        <v>3992.43</v>
      </c>
      <c r="N174" t="s">
        <v>108</v>
      </c>
      <c r="O174" t="s">
        <v>44</v>
      </c>
      <c r="P174" t="s">
        <v>45</v>
      </c>
      <c r="Q174" t="s">
        <v>32</v>
      </c>
      <c r="R174" t="s">
        <v>47</v>
      </c>
      <c r="S174" t="s">
        <v>48</v>
      </c>
      <c r="T174" t="s">
        <v>529</v>
      </c>
      <c r="U174" t="str">
        <f t="shared" si="18"/>
        <v>46-55</v>
      </c>
      <c r="V174" t="str">
        <f t="shared" si="19"/>
        <v>June</v>
      </c>
      <c r="W174" t="str">
        <f t="shared" si="20"/>
        <v>Q2</v>
      </c>
      <c r="X174">
        <f t="shared" si="21"/>
        <v>2025</v>
      </c>
      <c r="Y174" t="str">
        <f t="shared" si="26"/>
        <v>High</v>
      </c>
      <c r="Z174" t="str">
        <f t="shared" si="22"/>
        <v>Regular Buyer</v>
      </c>
      <c r="AA174" t="str">
        <f t="shared" si="23"/>
        <v>Regular</v>
      </c>
      <c r="AB174" s="4">
        <f t="shared" ca="1" si="24"/>
        <v>326</v>
      </c>
      <c r="AC174" t="str">
        <f t="shared" ca="1" si="25"/>
        <v>Churn Risk</v>
      </c>
    </row>
    <row r="175" spans="1:29" x14ac:dyDescent="0.3">
      <c r="A175" t="s">
        <v>530</v>
      </c>
      <c r="B175" t="s">
        <v>159</v>
      </c>
      <c r="C175">
        <v>32</v>
      </c>
      <c r="D175" t="s">
        <v>38</v>
      </c>
      <c r="E175" t="s">
        <v>52</v>
      </c>
      <c r="F175" t="s">
        <v>53</v>
      </c>
      <c r="G175" t="s">
        <v>91</v>
      </c>
      <c r="H175" t="s">
        <v>55</v>
      </c>
      <c r="I175" t="s">
        <v>96</v>
      </c>
      <c r="J175" t="s">
        <v>160</v>
      </c>
      <c r="K175">
        <v>4</v>
      </c>
      <c r="L175">
        <v>2567.91</v>
      </c>
      <c r="M175">
        <v>10271.64</v>
      </c>
      <c r="N175" t="s">
        <v>108</v>
      </c>
      <c r="O175" t="s">
        <v>30</v>
      </c>
      <c r="P175" t="s">
        <v>31</v>
      </c>
      <c r="Q175" t="s">
        <v>32</v>
      </c>
      <c r="R175" t="s">
        <v>47</v>
      </c>
      <c r="S175" t="s">
        <v>83</v>
      </c>
      <c r="T175" t="s">
        <v>531</v>
      </c>
      <c r="U175" t="str">
        <f t="shared" si="18"/>
        <v>26-35</v>
      </c>
      <c r="V175" t="str">
        <f t="shared" si="19"/>
        <v>January</v>
      </c>
      <c r="W175" t="str">
        <f t="shared" si="20"/>
        <v>Q1</v>
      </c>
      <c r="X175">
        <f t="shared" si="21"/>
        <v>2026</v>
      </c>
      <c r="Y175" t="str">
        <f t="shared" si="26"/>
        <v>Medium</v>
      </c>
      <c r="Z175" t="str">
        <f t="shared" si="22"/>
        <v>Regular Buyer</v>
      </c>
      <c r="AA175" t="str">
        <f t="shared" si="23"/>
        <v>VIP</v>
      </c>
      <c r="AB175" s="4">
        <f t="shared" ca="1" si="24"/>
        <v>45</v>
      </c>
      <c r="AC175" t="str">
        <f t="shared" ca="1" si="25"/>
        <v>At Risk</v>
      </c>
    </row>
    <row r="176" spans="1:29" x14ac:dyDescent="0.3">
      <c r="A176" t="s">
        <v>532</v>
      </c>
      <c r="B176" t="s">
        <v>37</v>
      </c>
      <c r="C176">
        <v>53</v>
      </c>
      <c r="D176" t="s">
        <v>38</v>
      </c>
      <c r="E176" t="s">
        <v>87</v>
      </c>
      <c r="F176" t="s">
        <v>79</v>
      </c>
      <c r="G176" t="s">
        <v>91</v>
      </c>
      <c r="H176" t="s">
        <v>41</v>
      </c>
      <c r="I176" t="s">
        <v>81</v>
      </c>
      <c r="J176" t="s">
        <v>451</v>
      </c>
      <c r="K176">
        <v>1</v>
      </c>
      <c r="L176">
        <v>3742.37</v>
      </c>
      <c r="M176">
        <v>3742.37</v>
      </c>
      <c r="N176" t="s">
        <v>58</v>
      </c>
      <c r="O176" t="s">
        <v>44</v>
      </c>
      <c r="P176" t="s">
        <v>31</v>
      </c>
      <c r="Q176" t="s">
        <v>99</v>
      </c>
      <c r="R176" t="s">
        <v>33</v>
      </c>
      <c r="S176" t="s">
        <v>142</v>
      </c>
      <c r="T176" t="s">
        <v>436</v>
      </c>
      <c r="U176" t="str">
        <f t="shared" si="18"/>
        <v>46-55</v>
      </c>
      <c r="V176" t="str">
        <f t="shared" si="19"/>
        <v>January</v>
      </c>
      <c r="W176" t="str">
        <f t="shared" si="20"/>
        <v>Q1</v>
      </c>
      <c r="X176">
        <f t="shared" si="21"/>
        <v>2025</v>
      </c>
      <c r="Y176" t="str">
        <f t="shared" si="26"/>
        <v>High</v>
      </c>
      <c r="Z176" t="str">
        <f t="shared" si="22"/>
        <v>Discount Buyer</v>
      </c>
      <c r="AA176" t="str">
        <f t="shared" si="23"/>
        <v>Regular</v>
      </c>
      <c r="AB176" s="4">
        <f t="shared" ca="1" si="24"/>
        <v>477</v>
      </c>
      <c r="AC176" t="str">
        <f t="shared" ca="1" si="25"/>
        <v>Churn Risk</v>
      </c>
    </row>
    <row r="177" spans="1:29" x14ac:dyDescent="0.3">
      <c r="A177" t="s">
        <v>533</v>
      </c>
      <c r="B177" t="s">
        <v>159</v>
      </c>
      <c r="C177">
        <v>38</v>
      </c>
      <c r="D177" t="s">
        <v>38</v>
      </c>
      <c r="E177" t="s">
        <v>23</v>
      </c>
      <c r="F177" t="s">
        <v>24</v>
      </c>
      <c r="G177" t="s">
        <v>91</v>
      </c>
      <c r="H177" t="s">
        <v>55</v>
      </c>
      <c r="I177" t="s">
        <v>122</v>
      </c>
      <c r="J177" t="s">
        <v>534</v>
      </c>
      <c r="K177">
        <v>8</v>
      </c>
      <c r="L177">
        <v>1965.5</v>
      </c>
      <c r="M177">
        <v>15724</v>
      </c>
      <c r="N177" t="s">
        <v>29</v>
      </c>
      <c r="O177" t="s">
        <v>44</v>
      </c>
      <c r="P177" t="s">
        <v>74</v>
      </c>
      <c r="Q177" t="s">
        <v>99</v>
      </c>
      <c r="R177" t="s">
        <v>33</v>
      </c>
      <c r="S177" t="s">
        <v>142</v>
      </c>
      <c r="T177" t="s">
        <v>187</v>
      </c>
      <c r="U177" t="str">
        <f t="shared" si="18"/>
        <v>36-45</v>
      </c>
      <c r="V177" t="str">
        <f t="shared" si="19"/>
        <v>January</v>
      </c>
      <c r="W177" t="str">
        <f t="shared" si="20"/>
        <v>Q1</v>
      </c>
      <c r="X177">
        <f t="shared" si="21"/>
        <v>2025</v>
      </c>
      <c r="Y177" t="str">
        <f t="shared" si="26"/>
        <v>Medium</v>
      </c>
      <c r="Z177" t="str">
        <f t="shared" si="22"/>
        <v>Discount Buyer</v>
      </c>
      <c r="AA177" t="str">
        <f t="shared" si="23"/>
        <v>VIP</v>
      </c>
      <c r="AB177" s="4">
        <f t="shared" ca="1" si="24"/>
        <v>430</v>
      </c>
      <c r="AC177" t="str">
        <f t="shared" ca="1" si="25"/>
        <v>Churn Risk</v>
      </c>
    </row>
    <row r="178" spans="1:29" x14ac:dyDescent="0.3">
      <c r="A178" t="s">
        <v>535</v>
      </c>
      <c r="B178" t="s">
        <v>77</v>
      </c>
      <c r="C178">
        <v>49</v>
      </c>
      <c r="D178" t="s">
        <v>22</v>
      </c>
      <c r="E178" t="s">
        <v>39</v>
      </c>
      <c r="F178" t="s">
        <v>40</v>
      </c>
      <c r="G178" t="s">
        <v>63</v>
      </c>
      <c r="H178" t="s">
        <v>41</v>
      </c>
      <c r="I178" t="s">
        <v>272</v>
      </c>
      <c r="J178" t="s">
        <v>397</v>
      </c>
      <c r="K178">
        <v>3</v>
      </c>
      <c r="L178">
        <v>1929.83</v>
      </c>
      <c r="M178">
        <v>5789.49</v>
      </c>
      <c r="N178" t="s">
        <v>108</v>
      </c>
      <c r="O178" t="s">
        <v>44</v>
      </c>
      <c r="P178" t="s">
        <v>31</v>
      </c>
      <c r="Q178" t="s">
        <v>46</v>
      </c>
      <c r="R178" t="s">
        <v>47</v>
      </c>
      <c r="S178" t="s">
        <v>142</v>
      </c>
      <c r="T178" t="s">
        <v>536</v>
      </c>
      <c r="U178" t="str">
        <f t="shared" si="18"/>
        <v>46-55</v>
      </c>
      <c r="V178" t="str">
        <f t="shared" si="19"/>
        <v>November</v>
      </c>
      <c r="W178" t="str">
        <f t="shared" si="20"/>
        <v>Q4</v>
      </c>
      <c r="X178">
        <f t="shared" si="21"/>
        <v>2025</v>
      </c>
      <c r="Y178" t="str">
        <f t="shared" si="26"/>
        <v>High</v>
      </c>
      <c r="Z178" t="str">
        <f t="shared" si="22"/>
        <v>Regular Buyer</v>
      </c>
      <c r="AA178" t="str">
        <f t="shared" si="23"/>
        <v>Premium</v>
      </c>
      <c r="AB178" s="4">
        <f t="shared" ca="1" si="24"/>
        <v>176</v>
      </c>
      <c r="AC178" t="str">
        <f t="shared" ca="1" si="25"/>
        <v>At Risk</v>
      </c>
    </row>
    <row r="179" spans="1:29" x14ac:dyDescent="0.3">
      <c r="A179" t="s">
        <v>537</v>
      </c>
      <c r="B179" t="s">
        <v>21</v>
      </c>
      <c r="C179">
        <v>30</v>
      </c>
      <c r="D179" t="s">
        <v>38</v>
      </c>
      <c r="E179" t="s">
        <v>23</v>
      </c>
      <c r="F179" t="s">
        <v>24</v>
      </c>
      <c r="G179" t="s">
        <v>63</v>
      </c>
      <c r="H179" t="s">
        <v>129</v>
      </c>
      <c r="I179" t="s">
        <v>167</v>
      </c>
      <c r="J179" t="s">
        <v>394</v>
      </c>
      <c r="K179">
        <v>2</v>
      </c>
      <c r="L179">
        <v>2387.14</v>
      </c>
      <c r="M179">
        <v>4774.28</v>
      </c>
      <c r="N179" t="s">
        <v>29</v>
      </c>
      <c r="O179" t="s">
        <v>30</v>
      </c>
      <c r="P179" t="s">
        <v>74</v>
      </c>
      <c r="Q179" t="s">
        <v>46</v>
      </c>
      <c r="R179" t="s">
        <v>33</v>
      </c>
      <c r="S179" t="s">
        <v>142</v>
      </c>
      <c r="T179" t="s">
        <v>322</v>
      </c>
      <c r="U179" t="str">
        <f t="shared" si="18"/>
        <v>26-35</v>
      </c>
      <c r="V179" t="str">
        <f t="shared" si="19"/>
        <v>August</v>
      </c>
      <c r="W179" t="str">
        <f t="shared" si="20"/>
        <v>Q3</v>
      </c>
      <c r="X179">
        <f t="shared" si="21"/>
        <v>2025</v>
      </c>
      <c r="Y179" t="str">
        <f t="shared" si="26"/>
        <v>High</v>
      </c>
      <c r="Z179" t="str">
        <f t="shared" si="22"/>
        <v>Discount Buyer</v>
      </c>
      <c r="AA179" t="str">
        <f t="shared" si="23"/>
        <v>Regular</v>
      </c>
      <c r="AB179" s="4">
        <f t="shared" ca="1" si="24"/>
        <v>264</v>
      </c>
      <c r="AC179" t="str">
        <f t="shared" ca="1" si="25"/>
        <v>Churn Risk</v>
      </c>
    </row>
    <row r="180" spans="1:29" x14ac:dyDescent="0.3">
      <c r="A180" t="s">
        <v>538</v>
      </c>
      <c r="B180" t="s">
        <v>51</v>
      </c>
      <c r="C180">
        <v>18</v>
      </c>
      <c r="D180" t="s">
        <v>22</v>
      </c>
      <c r="E180" t="s">
        <v>163</v>
      </c>
      <c r="F180" t="s">
        <v>135</v>
      </c>
      <c r="G180" t="s">
        <v>80</v>
      </c>
      <c r="H180" t="s">
        <v>55</v>
      </c>
      <c r="I180" t="s">
        <v>56</v>
      </c>
      <c r="J180" t="s">
        <v>539</v>
      </c>
      <c r="K180">
        <v>8</v>
      </c>
      <c r="L180">
        <v>3467.91</v>
      </c>
      <c r="M180">
        <v>27743.279999999999</v>
      </c>
      <c r="N180" t="s">
        <v>58</v>
      </c>
      <c r="O180" t="s">
        <v>44</v>
      </c>
      <c r="P180" t="s">
        <v>31</v>
      </c>
      <c r="Q180" t="s">
        <v>32</v>
      </c>
      <c r="R180" t="s">
        <v>47</v>
      </c>
      <c r="S180" t="s">
        <v>34</v>
      </c>
      <c r="T180" t="s">
        <v>390</v>
      </c>
      <c r="U180" t="str">
        <f t="shared" si="18"/>
        <v>18-25</v>
      </c>
      <c r="V180" t="str">
        <f t="shared" si="19"/>
        <v>February</v>
      </c>
      <c r="W180" t="str">
        <f t="shared" si="20"/>
        <v>Q1</v>
      </c>
      <c r="X180">
        <f t="shared" si="21"/>
        <v>2026</v>
      </c>
      <c r="Y180" t="str">
        <f t="shared" si="26"/>
        <v>Medium</v>
      </c>
      <c r="Z180" t="str">
        <f t="shared" si="22"/>
        <v>Regular Buyer</v>
      </c>
      <c r="AA180" t="str">
        <f t="shared" si="23"/>
        <v>VIP</v>
      </c>
      <c r="AB180" s="4">
        <f t="shared" ca="1" si="24"/>
        <v>13</v>
      </c>
      <c r="AC180" t="str">
        <f t="shared" ca="1" si="25"/>
        <v>Active</v>
      </c>
    </row>
    <row r="181" spans="1:29" x14ac:dyDescent="0.3">
      <c r="A181" t="s">
        <v>540</v>
      </c>
      <c r="B181" t="s">
        <v>71</v>
      </c>
      <c r="C181">
        <v>52</v>
      </c>
      <c r="D181" t="s">
        <v>38</v>
      </c>
      <c r="E181" t="s">
        <v>62</v>
      </c>
      <c r="F181" t="s">
        <v>53</v>
      </c>
      <c r="G181" t="s">
        <v>63</v>
      </c>
      <c r="H181" t="s">
        <v>26</v>
      </c>
      <c r="I181" t="s">
        <v>136</v>
      </c>
      <c r="J181" t="s">
        <v>541</v>
      </c>
      <c r="K181">
        <v>2</v>
      </c>
      <c r="L181">
        <v>633.17999999999995</v>
      </c>
      <c r="M181">
        <v>1266.3599999999999</v>
      </c>
      <c r="N181" t="s">
        <v>98</v>
      </c>
      <c r="O181" t="s">
        <v>44</v>
      </c>
      <c r="P181" t="s">
        <v>45</v>
      </c>
      <c r="Q181" t="s">
        <v>59</v>
      </c>
      <c r="R181" t="s">
        <v>47</v>
      </c>
      <c r="S181" t="s">
        <v>34</v>
      </c>
      <c r="T181" t="s">
        <v>460</v>
      </c>
      <c r="U181" t="str">
        <f t="shared" si="18"/>
        <v>46-55</v>
      </c>
      <c r="V181" t="str">
        <f t="shared" si="19"/>
        <v>April</v>
      </c>
      <c r="W181" t="str">
        <f t="shared" si="20"/>
        <v>Q2</v>
      </c>
      <c r="X181">
        <f t="shared" si="21"/>
        <v>2026</v>
      </c>
      <c r="Y181" t="str">
        <f t="shared" si="26"/>
        <v>High</v>
      </c>
      <c r="Z181" t="str">
        <f t="shared" si="22"/>
        <v>Regular Buyer</v>
      </c>
      <c r="AA181" t="str">
        <f t="shared" si="23"/>
        <v>Regular</v>
      </c>
      <c r="AB181" s="4">
        <f t="shared" ca="1" si="24"/>
        <v>-49</v>
      </c>
      <c r="AC181" t="str">
        <f t="shared" ca="1" si="25"/>
        <v>Active</v>
      </c>
    </row>
    <row r="182" spans="1:29" x14ac:dyDescent="0.3">
      <c r="A182" t="s">
        <v>542</v>
      </c>
      <c r="B182" t="s">
        <v>159</v>
      </c>
      <c r="C182">
        <v>51</v>
      </c>
      <c r="D182" t="s">
        <v>38</v>
      </c>
      <c r="E182" t="s">
        <v>23</v>
      </c>
      <c r="F182" t="s">
        <v>24</v>
      </c>
      <c r="G182" t="s">
        <v>80</v>
      </c>
      <c r="H182" t="s">
        <v>26</v>
      </c>
      <c r="I182" t="s">
        <v>140</v>
      </c>
      <c r="J182" t="s">
        <v>471</v>
      </c>
      <c r="K182">
        <v>8</v>
      </c>
      <c r="L182">
        <v>3111.28</v>
      </c>
      <c r="M182">
        <v>24890.240000000002</v>
      </c>
      <c r="N182" t="s">
        <v>67</v>
      </c>
      <c r="O182" t="s">
        <v>44</v>
      </c>
      <c r="P182" t="s">
        <v>45</v>
      </c>
      <c r="Q182" t="s">
        <v>59</v>
      </c>
      <c r="R182" t="s">
        <v>47</v>
      </c>
      <c r="S182" t="s">
        <v>34</v>
      </c>
      <c r="T182" t="s">
        <v>543</v>
      </c>
      <c r="U182" t="str">
        <f t="shared" si="18"/>
        <v>46-55</v>
      </c>
      <c r="V182" t="str">
        <f t="shared" si="19"/>
        <v>May</v>
      </c>
      <c r="W182" t="str">
        <f t="shared" si="20"/>
        <v>Q2</v>
      </c>
      <c r="X182">
        <f t="shared" si="21"/>
        <v>2025</v>
      </c>
      <c r="Y182" t="str">
        <f t="shared" si="26"/>
        <v>Medium</v>
      </c>
      <c r="Z182" t="str">
        <f t="shared" si="22"/>
        <v>Regular Buyer</v>
      </c>
      <c r="AA182" t="str">
        <f t="shared" si="23"/>
        <v>VIP</v>
      </c>
      <c r="AB182" s="4">
        <f t="shared" ca="1" si="24"/>
        <v>280</v>
      </c>
      <c r="AC182" t="str">
        <f t="shared" ca="1" si="25"/>
        <v>Churn Risk</v>
      </c>
    </row>
    <row r="183" spans="1:29" x14ac:dyDescent="0.3">
      <c r="A183" t="s">
        <v>544</v>
      </c>
      <c r="B183" t="s">
        <v>21</v>
      </c>
      <c r="C183">
        <v>51</v>
      </c>
      <c r="D183" t="s">
        <v>22</v>
      </c>
      <c r="E183" t="s">
        <v>52</v>
      </c>
      <c r="F183" t="s">
        <v>53</v>
      </c>
      <c r="G183" t="s">
        <v>152</v>
      </c>
      <c r="H183" t="s">
        <v>129</v>
      </c>
      <c r="I183" t="s">
        <v>148</v>
      </c>
      <c r="J183" t="s">
        <v>246</v>
      </c>
      <c r="K183">
        <v>4</v>
      </c>
      <c r="L183">
        <v>4504.6899999999996</v>
      </c>
      <c r="M183">
        <v>18018.759999999998</v>
      </c>
      <c r="N183" t="s">
        <v>98</v>
      </c>
      <c r="O183" t="s">
        <v>30</v>
      </c>
      <c r="P183" t="s">
        <v>68</v>
      </c>
      <c r="Q183" t="s">
        <v>99</v>
      </c>
      <c r="R183" t="s">
        <v>47</v>
      </c>
      <c r="S183" t="s">
        <v>48</v>
      </c>
      <c r="T183" t="s">
        <v>469</v>
      </c>
      <c r="U183" t="str">
        <f t="shared" si="18"/>
        <v>46-55</v>
      </c>
      <c r="V183" t="str">
        <f t="shared" si="19"/>
        <v>June</v>
      </c>
      <c r="W183" t="str">
        <f t="shared" si="20"/>
        <v>Q2</v>
      </c>
      <c r="X183">
        <f t="shared" si="21"/>
        <v>2025</v>
      </c>
      <c r="Y183" t="str">
        <f t="shared" si="26"/>
        <v>High</v>
      </c>
      <c r="Z183" t="str">
        <f t="shared" si="22"/>
        <v>Regular Buyer</v>
      </c>
      <c r="AA183" t="str">
        <f t="shared" si="23"/>
        <v>VIP</v>
      </c>
      <c r="AB183" s="4">
        <f t="shared" ca="1" si="24"/>
        <v>279</v>
      </c>
      <c r="AC183" t="str">
        <f t="shared" ca="1" si="25"/>
        <v>Churn Risk</v>
      </c>
    </row>
    <row r="184" spans="1:29" x14ac:dyDescent="0.3">
      <c r="A184" t="s">
        <v>545</v>
      </c>
      <c r="B184" t="s">
        <v>111</v>
      </c>
      <c r="C184">
        <v>28</v>
      </c>
      <c r="D184" t="s">
        <v>22</v>
      </c>
      <c r="E184" t="s">
        <v>121</v>
      </c>
      <c r="F184" t="s">
        <v>24</v>
      </c>
      <c r="G184" t="s">
        <v>152</v>
      </c>
      <c r="H184" t="s">
        <v>115</v>
      </c>
      <c r="I184" t="s">
        <v>228</v>
      </c>
      <c r="J184" t="s">
        <v>270</v>
      </c>
      <c r="K184">
        <v>1</v>
      </c>
      <c r="L184">
        <v>3341.49</v>
      </c>
      <c r="M184">
        <v>3341.49</v>
      </c>
      <c r="N184" t="s">
        <v>29</v>
      </c>
      <c r="O184" t="s">
        <v>30</v>
      </c>
      <c r="P184" t="s">
        <v>45</v>
      </c>
      <c r="Q184" t="s">
        <v>59</v>
      </c>
      <c r="R184" t="s">
        <v>47</v>
      </c>
      <c r="S184" t="s">
        <v>83</v>
      </c>
      <c r="T184" t="s">
        <v>546</v>
      </c>
      <c r="U184" t="str">
        <f t="shared" si="18"/>
        <v>26-35</v>
      </c>
      <c r="V184" t="str">
        <f t="shared" si="19"/>
        <v>April</v>
      </c>
      <c r="W184" t="str">
        <f t="shared" si="20"/>
        <v>Q2</v>
      </c>
      <c r="X184">
        <f t="shared" si="21"/>
        <v>2025</v>
      </c>
      <c r="Y184" t="str">
        <f t="shared" si="26"/>
        <v>High</v>
      </c>
      <c r="Z184" t="str">
        <f t="shared" si="22"/>
        <v>Regular Buyer</v>
      </c>
      <c r="AA184" t="str">
        <f t="shared" si="23"/>
        <v>Regular</v>
      </c>
      <c r="AB184" s="4">
        <f t="shared" ca="1" si="24"/>
        <v>389</v>
      </c>
      <c r="AC184" t="str">
        <f t="shared" ca="1" si="25"/>
        <v>Churn Risk</v>
      </c>
    </row>
    <row r="185" spans="1:29" x14ac:dyDescent="0.3">
      <c r="A185" t="s">
        <v>547</v>
      </c>
      <c r="B185" t="s">
        <v>37</v>
      </c>
      <c r="C185">
        <v>42</v>
      </c>
      <c r="D185" t="s">
        <v>22</v>
      </c>
      <c r="E185" t="s">
        <v>23</v>
      </c>
      <c r="F185" t="s">
        <v>24</v>
      </c>
      <c r="G185" t="s">
        <v>54</v>
      </c>
      <c r="H185" t="s">
        <v>129</v>
      </c>
      <c r="I185" t="s">
        <v>130</v>
      </c>
      <c r="J185" t="s">
        <v>548</v>
      </c>
      <c r="K185">
        <v>5</v>
      </c>
      <c r="L185">
        <v>4482.99</v>
      </c>
      <c r="M185">
        <v>22414.95</v>
      </c>
      <c r="N185" t="s">
        <v>67</v>
      </c>
      <c r="O185" t="s">
        <v>30</v>
      </c>
      <c r="P185" t="s">
        <v>68</v>
      </c>
      <c r="Q185" t="s">
        <v>59</v>
      </c>
      <c r="R185" t="s">
        <v>33</v>
      </c>
      <c r="S185" t="s">
        <v>142</v>
      </c>
      <c r="T185" t="s">
        <v>301</v>
      </c>
      <c r="U185" t="str">
        <f t="shared" si="18"/>
        <v>36-45</v>
      </c>
      <c r="V185" t="str">
        <f t="shared" si="19"/>
        <v>April</v>
      </c>
      <c r="W185" t="str">
        <f t="shared" si="20"/>
        <v>Q2</v>
      </c>
      <c r="X185">
        <f t="shared" si="21"/>
        <v>2025</v>
      </c>
      <c r="Y185" t="str">
        <f t="shared" si="26"/>
        <v>Medium</v>
      </c>
      <c r="Z185" t="str">
        <f t="shared" si="22"/>
        <v>Discount Buyer</v>
      </c>
      <c r="AA185" t="str">
        <f t="shared" si="23"/>
        <v>VIP</v>
      </c>
      <c r="AB185" s="4">
        <f t="shared" ca="1" si="24"/>
        <v>330</v>
      </c>
      <c r="AC185" t="str">
        <f t="shared" ca="1" si="25"/>
        <v>Churn Risk</v>
      </c>
    </row>
    <row r="186" spans="1:29" x14ac:dyDescent="0.3">
      <c r="A186" t="s">
        <v>549</v>
      </c>
      <c r="B186" t="s">
        <v>120</v>
      </c>
      <c r="C186">
        <v>53</v>
      </c>
      <c r="D186" t="s">
        <v>38</v>
      </c>
      <c r="E186" t="s">
        <v>121</v>
      </c>
      <c r="F186" t="s">
        <v>24</v>
      </c>
      <c r="G186" t="s">
        <v>72</v>
      </c>
      <c r="H186" t="s">
        <v>26</v>
      </c>
      <c r="I186" t="s">
        <v>136</v>
      </c>
      <c r="J186" t="s">
        <v>550</v>
      </c>
      <c r="K186">
        <v>2</v>
      </c>
      <c r="L186">
        <v>1347.76</v>
      </c>
      <c r="M186">
        <v>2695.52</v>
      </c>
      <c r="N186" t="s">
        <v>98</v>
      </c>
      <c r="O186" t="s">
        <v>44</v>
      </c>
      <c r="P186" t="s">
        <v>45</v>
      </c>
      <c r="Q186" t="s">
        <v>46</v>
      </c>
      <c r="R186" t="s">
        <v>47</v>
      </c>
      <c r="S186" t="s">
        <v>48</v>
      </c>
      <c r="T186" t="s">
        <v>256</v>
      </c>
      <c r="U186" t="str">
        <f t="shared" si="18"/>
        <v>46-55</v>
      </c>
      <c r="V186" t="str">
        <f t="shared" si="19"/>
        <v>March</v>
      </c>
      <c r="W186" t="str">
        <f t="shared" si="20"/>
        <v>Q1</v>
      </c>
      <c r="X186">
        <f t="shared" si="21"/>
        <v>2025</v>
      </c>
      <c r="Y186" t="str">
        <f t="shared" si="26"/>
        <v>High</v>
      </c>
      <c r="Z186" t="str">
        <f t="shared" si="22"/>
        <v>Regular Buyer</v>
      </c>
      <c r="AA186" t="str">
        <f t="shared" si="23"/>
        <v>Regular</v>
      </c>
      <c r="AB186" s="4">
        <f t="shared" ca="1" si="24"/>
        <v>343</v>
      </c>
      <c r="AC186" t="str">
        <f t="shared" ca="1" si="25"/>
        <v>Churn Risk</v>
      </c>
    </row>
    <row r="187" spans="1:29" x14ac:dyDescent="0.3">
      <c r="A187" t="s">
        <v>551</v>
      </c>
      <c r="B187" t="s">
        <v>120</v>
      </c>
      <c r="C187">
        <v>59</v>
      </c>
      <c r="D187" t="s">
        <v>22</v>
      </c>
      <c r="E187" t="s">
        <v>87</v>
      </c>
      <c r="F187" t="s">
        <v>79</v>
      </c>
      <c r="G187" t="s">
        <v>63</v>
      </c>
      <c r="H187" t="s">
        <v>64</v>
      </c>
      <c r="I187" t="s">
        <v>189</v>
      </c>
      <c r="J187" t="s">
        <v>552</v>
      </c>
      <c r="K187">
        <v>1</v>
      </c>
      <c r="L187">
        <v>3522.97</v>
      </c>
      <c r="M187">
        <v>3522.97</v>
      </c>
      <c r="N187" t="s">
        <v>58</v>
      </c>
      <c r="O187" t="s">
        <v>30</v>
      </c>
      <c r="P187" t="s">
        <v>45</v>
      </c>
      <c r="Q187" t="s">
        <v>32</v>
      </c>
      <c r="R187" t="s">
        <v>47</v>
      </c>
      <c r="S187" t="s">
        <v>142</v>
      </c>
      <c r="T187" t="s">
        <v>553</v>
      </c>
      <c r="U187" t="str">
        <f t="shared" si="18"/>
        <v>55+</v>
      </c>
      <c r="V187" t="str">
        <f t="shared" si="19"/>
        <v>April</v>
      </c>
      <c r="W187" t="str">
        <f t="shared" si="20"/>
        <v>Q2</v>
      </c>
      <c r="X187">
        <f t="shared" si="21"/>
        <v>2025</v>
      </c>
      <c r="Y187" t="str">
        <f t="shared" si="26"/>
        <v>Medium</v>
      </c>
      <c r="Z187" t="str">
        <f t="shared" si="22"/>
        <v>Regular Buyer</v>
      </c>
      <c r="AA187" t="str">
        <f t="shared" si="23"/>
        <v>Regular</v>
      </c>
      <c r="AB187" s="4">
        <f t="shared" ca="1" si="24"/>
        <v>384</v>
      </c>
      <c r="AC187" t="str">
        <f t="shared" ca="1" si="25"/>
        <v>Churn Risk</v>
      </c>
    </row>
    <row r="188" spans="1:29" x14ac:dyDescent="0.3">
      <c r="A188" t="s">
        <v>554</v>
      </c>
      <c r="B188" t="s">
        <v>51</v>
      </c>
      <c r="C188">
        <v>56</v>
      </c>
      <c r="D188" t="s">
        <v>38</v>
      </c>
      <c r="E188" t="s">
        <v>39</v>
      </c>
      <c r="F188" t="s">
        <v>40</v>
      </c>
      <c r="G188" t="s">
        <v>152</v>
      </c>
      <c r="H188" t="s">
        <v>129</v>
      </c>
      <c r="I188" t="s">
        <v>167</v>
      </c>
      <c r="J188" t="s">
        <v>350</v>
      </c>
      <c r="K188">
        <v>1</v>
      </c>
      <c r="L188">
        <v>2557.38</v>
      </c>
      <c r="M188">
        <v>2557.38</v>
      </c>
      <c r="N188" t="s">
        <v>67</v>
      </c>
      <c r="O188" t="s">
        <v>30</v>
      </c>
      <c r="P188" t="s">
        <v>74</v>
      </c>
      <c r="Q188" t="s">
        <v>99</v>
      </c>
      <c r="R188" t="s">
        <v>33</v>
      </c>
      <c r="S188" t="s">
        <v>34</v>
      </c>
      <c r="T188" t="s">
        <v>555</v>
      </c>
      <c r="U188" t="str">
        <f t="shared" si="18"/>
        <v>55+</v>
      </c>
      <c r="V188" t="str">
        <f t="shared" si="19"/>
        <v>March</v>
      </c>
      <c r="W188" t="str">
        <f t="shared" si="20"/>
        <v>Q1</v>
      </c>
      <c r="X188">
        <f t="shared" si="21"/>
        <v>2026</v>
      </c>
      <c r="Y188" t="str">
        <f t="shared" si="26"/>
        <v>Medium</v>
      </c>
      <c r="Z188" t="str">
        <f t="shared" si="22"/>
        <v>Discount Buyer</v>
      </c>
      <c r="AA188" t="str">
        <f t="shared" si="23"/>
        <v>Regular</v>
      </c>
      <c r="AB188" s="4">
        <f t="shared" ca="1" si="24"/>
        <v>11</v>
      </c>
      <c r="AC188" t="str">
        <f t="shared" ca="1" si="25"/>
        <v>Active</v>
      </c>
    </row>
    <row r="189" spans="1:29" x14ac:dyDescent="0.3">
      <c r="A189" t="s">
        <v>556</v>
      </c>
      <c r="B189" t="s">
        <v>86</v>
      </c>
      <c r="C189">
        <v>20</v>
      </c>
      <c r="D189" t="s">
        <v>22</v>
      </c>
      <c r="E189" t="s">
        <v>121</v>
      </c>
      <c r="F189" t="s">
        <v>24</v>
      </c>
      <c r="G189" t="s">
        <v>54</v>
      </c>
      <c r="H189" t="s">
        <v>115</v>
      </c>
      <c r="I189" t="s">
        <v>116</v>
      </c>
      <c r="J189" t="s">
        <v>557</v>
      </c>
      <c r="K189">
        <v>7</v>
      </c>
      <c r="L189">
        <v>3355.79</v>
      </c>
      <c r="M189">
        <v>23490.53</v>
      </c>
      <c r="N189" t="s">
        <v>98</v>
      </c>
      <c r="O189" t="s">
        <v>30</v>
      </c>
      <c r="P189" t="s">
        <v>68</v>
      </c>
      <c r="Q189" t="s">
        <v>32</v>
      </c>
      <c r="R189" t="s">
        <v>33</v>
      </c>
      <c r="S189" t="s">
        <v>34</v>
      </c>
      <c r="T189" t="s">
        <v>558</v>
      </c>
      <c r="U189" t="str">
        <f t="shared" si="18"/>
        <v>18-25</v>
      </c>
      <c r="V189" t="str">
        <f t="shared" si="19"/>
        <v>February</v>
      </c>
      <c r="W189" t="str">
        <f t="shared" si="20"/>
        <v>Q1</v>
      </c>
      <c r="X189">
        <f t="shared" si="21"/>
        <v>2025</v>
      </c>
      <c r="Y189" t="str">
        <f t="shared" si="26"/>
        <v>Medium</v>
      </c>
      <c r="Z189" t="str">
        <f t="shared" si="22"/>
        <v>Discount Buyer</v>
      </c>
      <c r="AA189" t="str">
        <f t="shared" si="23"/>
        <v>VIP</v>
      </c>
      <c r="AB189" s="4">
        <f t="shared" ca="1" si="24"/>
        <v>416</v>
      </c>
      <c r="AC189" t="str">
        <f t="shared" ca="1" si="25"/>
        <v>Churn Risk</v>
      </c>
    </row>
    <row r="190" spans="1:29" x14ac:dyDescent="0.3">
      <c r="A190" t="s">
        <v>559</v>
      </c>
      <c r="B190" t="s">
        <v>111</v>
      </c>
      <c r="C190">
        <v>21</v>
      </c>
      <c r="D190" t="s">
        <v>38</v>
      </c>
      <c r="E190" t="s">
        <v>121</v>
      </c>
      <c r="F190" t="s">
        <v>24</v>
      </c>
      <c r="G190" t="s">
        <v>63</v>
      </c>
      <c r="H190" t="s">
        <v>129</v>
      </c>
      <c r="I190" t="s">
        <v>130</v>
      </c>
      <c r="J190" t="s">
        <v>123</v>
      </c>
      <c r="K190">
        <v>2</v>
      </c>
      <c r="L190">
        <v>3618.66</v>
      </c>
      <c r="M190">
        <v>7237.32</v>
      </c>
      <c r="N190" t="s">
        <v>67</v>
      </c>
      <c r="O190" t="s">
        <v>30</v>
      </c>
      <c r="P190" t="s">
        <v>74</v>
      </c>
      <c r="Q190" t="s">
        <v>59</v>
      </c>
      <c r="R190" t="s">
        <v>33</v>
      </c>
      <c r="S190" t="s">
        <v>34</v>
      </c>
      <c r="T190" t="s">
        <v>385</v>
      </c>
      <c r="U190" t="str">
        <f t="shared" si="18"/>
        <v>18-25</v>
      </c>
      <c r="V190" t="str">
        <f t="shared" si="19"/>
        <v>August</v>
      </c>
      <c r="W190" t="str">
        <f t="shared" si="20"/>
        <v>Q3</v>
      </c>
      <c r="X190">
        <f t="shared" si="21"/>
        <v>2025</v>
      </c>
      <c r="Y190" t="str">
        <f t="shared" si="26"/>
        <v>High</v>
      </c>
      <c r="Z190" t="str">
        <f t="shared" si="22"/>
        <v>Discount Buyer</v>
      </c>
      <c r="AA190" t="str">
        <f t="shared" si="23"/>
        <v>Premium</v>
      </c>
      <c r="AB190" s="4">
        <f t="shared" ca="1" si="24"/>
        <v>169</v>
      </c>
      <c r="AC190" t="str">
        <f t="shared" ca="1" si="25"/>
        <v>At Risk</v>
      </c>
    </row>
    <row r="191" spans="1:29" x14ac:dyDescent="0.3">
      <c r="A191" t="s">
        <v>560</v>
      </c>
      <c r="B191" t="s">
        <v>77</v>
      </c>
      <c r="C191">
        <v>49</v>
      </c>
      <c r="D191" t="s">
        <v>38</v>
      </c>
      <c r="E191" t="s">
        <v>134</v>
      </c>
      <c r="F191" t="s">
        <v>135</v>
      </c>
      <c r="G191" t="s">
        <v>72</v>
      </c>
      <c r="H191" t="s">
        <v>64</v>
      </c>
      <c r="I191" t="s">
        <v>102</v>
      </c>
      <c r="J191" t="s">
        <v>339</v>
      </c>
      <c r="K191">
        <v>8</v>
      </c>
      <c r="L191">
        <v>4527.6400000000003</v>
      </c>
      <c r="M191">
        <v>36221.120000000003</v>
      </c>
      <c r="N191" t="s">
        <v>67</v>
      </c>
      <c r="O191" t="s">
        <v>44</v>
      </c>
      <c r="P191" t="s">
        <v>68</v>
      </c>
      <c r="Q191" t="s">
        <v>32</v>
      </c>
      <c r="R191" t="s">
        <v>47</v>
      </c>
      <c r="S191" t="s">
        <v>142</v>
      </c>
      <c r="T191" t="s">
        <v>561</v>
      </c>
      <c r="U191" t="str">
        <f t="shared" si="18"/>
        <v>46-55</v>
      </c>
      <c r="V191" t="str">
        <f t="shared" si="19"/>
        <v>November</v>
      </c>
      <c r="W191" t="str">
        <f t="shared" si="20"/>
        <v>Q4</v>
      </c>
      <c r="X191">
        <f t="shared" si="21"/>
        <v>2025</v>
      </c>
      <c r="Y191" t="str">
        <f t="shared" si="26"/>
        <v>High</v>
      </c>
      <c r="Z191" t="str">
        <f t="shared" si="22"/>
        <v>Regular Buyer</v>
      </c>
      <c r="AA191" t="str">
        <f t="shared" si="23"/>
        <v>VIP</v>
      </c>
      <c r="AB191" s="4">
        <f t="shared" ca="1" si="24"/>
        <v>190</v>
      </c>
      <c r="AC191" t="str">
        <f t="shared" ca="1" si="25"/>
        <v>Churn Risk</v>
      </c>
    </row>
    <row r="192" spans="1:29" x14ac:dyDescent="0.3">
      <c r="A192" t="s">
        <v>562</v>
      </c>
      <c r="B192" t="s">
        <v>120</v>
      </c>
      <c r="C192">
        <v>40</v>
      </c>
      <c r="D192" t="s">
        <v>22</v>
      </c>
      <c r="E192" t="s">
        <v>39</v>
      </c>
      <c r="F192" t="s">
        <v>40</v>
      </c>
      <c r="G192" t="s">
        <v>54</v>
      </c>
      <c r="H192" t="s">
        <v>41</v>
      </c>
      <c r="I192" t="s">
        <v>272</v>
      </c>
      <c r="J192" t="s">
        <v>432</v>
      </c>
      <c r="K192">
        <v>5</v>
      </c>
      <c r="L192">
        <v>129.30000000000001</v>
      </c>
      <c r="M192">
        <v>646.5</v>
      </c>
      <c r="N192" t="s">
        <v>98</v>
      </c>
      <c r="O192" t="s">
        <v>30</v>
      </c>
      <c r="P192" t="s">
        <v>74</v>
      </c>
      <c r="Q192" t="s">
        <v>46</v>
      </c>
      <c r="R192" t="s">
        <v>33</v>
      </c>
      <c r="S192" t="s">
        <v>83</v>
      </c>
      <c r="T192" t="s">
        <v>563</v>
      </c>
      <c r="U192" t="str">
        <f t="shared" si="18"/>
        <v>36-45</v>
      </c>
      <c r="V192" t="str">
        <f t="shared" si="19"/>
        <v>May</v>
      </c>
      <c r="W192" t="str">
        <f t="shared" si="20"/>
        <v>Q2</v>
      </c>
      <c r="X192">
        <f t="shared" si="21"/>
        <v>2026</v>
      </c>
      <c r="Y192" t="str">
        <f t="shared" si="26"/>
        <v>High</v>
      </c>
      <c r="Z192" t="str">
        <f t="shared" si="22"/>
        <v>Discount Buyer</v>
      </c>
      <c r="AA192" t="str">
        <f t="shared" si="23"/>
        <v>Regular</v>
      </c>
      <c r="AB192" s="4">
        <f t="shared" ca="1" si="24"/>
        <v>7</v>
      </c>
      <c r="AC192" t="str">
        <f t="shared" ca="1" si="25"/>
        <v>Active</v>
      </c>
    </row>
    <row r="193" spans="1:29" x14ac:dyDescent="0.3">
      <c r="A193" t="s">
        <v>564</v>
      </c>
      <c r="B193" t="s">
        <v>71</v>
      </c>
      <c r="C193">
        <v>60</v>
      </c>
      <c r="D193" t="s">
        <v>38</v>
      </c>
      <c r="E193" t="s">
        <v>106</v>
      </c>
      <c r="F193" t="s">
        <v>40</v>
      </c>
      <c r="G193" t="s">
        <v>91</v>
      </c>
      <c r="H193" t="s">
        <v>115</v>
      </c>
      <c r="I193" t="s">
        <v>176</v>
      </c>
      <c r="J193" t="s">
        <v>328</v>
      </c>
      <c r="K193">
        <v>6</v>
      </c>
      <c r="L193">
        <v>4070.97</v>
      </c>
      <c r="M193">
        <v>24425.82</v>
      </c>
      <c r="N193" t="s">
        <v>108</v>
      </c>
      <c r="O193" t="s">
        <v>44</v>
      </c>
      <c r="P193" t="s">
        <v>45</v>
      </c>
      <c r="Q193" t="s">
        <v>99</v>
      </c>
      <c r="R193" t="s">
        <v>33</v>
      </c>
      <c r="S193" t="s">
        <v>48</v>
      </c>
      <c r="T193" t="s">
        <v>565</v>
      </c>
      <c r="U193" t="str">
        <f t="shared" si="18"/>
        <v>55+</v>
      </c>
      <c r="V193" t="str">
        <f t="shared" si="19"/>
        <v>November</v>
      </c>
      <c r="W193" t="str">
        <f t="shared" si="20"/>
        <v>Q4</v>
      </c>
      <c r="X193">
        <f t="shared" si="21"/>
        <v>2025</v>
      </c>
      <c r="Y193" t="str">
        <f t="shared" si="26"/>
        <v>Low</v>
      </c>
      <c r="Z193" t="str">
        <f t="shared" si="22"/>
        <v>Discount Buyer</v>
      </c>
      <c r="AA193" t="str">
        <f t="shared" si="23"/>
        <v>VIP</v>
      </c>
      <c r="AB193" s="4">
        <f t="shared" ca="1" si="24"/>
        <v>89</v>
      </c>
      <c r="AC193" t="str">
        <f t="shared" ca="1" si="25"/>
        <v>At Risk</v>
      </c>
    </row>
    <row r="194" spans="1:29" x14ac:dyDescent="0.3">
      <c r="A194" t="s">
        <v>566</v>
      </c>
      <c r="B194" t="s">
        <v>37</v>
      </c>
      <c r="C194">
        <v>46</v>
      </c>
      <c r="D194" t="s">
        <v>22</v>
      </c>
      <c r="E194" t="s">
        <v>62</v>
      </c>
      <c r="F194" t="s">
        <v>53</v>
      </c>
      <c r="G194" t="s">
        <v>25</v>
      </c>
      <c r="H194" t="s">
        <v>115</v>
      </c>
      <c r="I194" t="s">
        <v>116</v>
      </c>
      <c r="J194" t="s">
        <v>216</v>
      </c>
      <c r="K194">
        <v>1</v>
      </c>
      <c r="L194">
        <v>935.42</v>
      </c>
      <c r="M194">
        <v>935.42</v>
      </c>
      <c r="N194" t="s">
        <v>67</v>
      </c>
      <c r="O194" t="s">
        <v>30</v>
      </c>
      <c r="P194" t="s">
        <v>74</v>
      </c>
      <c r="Q194" t="s">
        <v>99</v>
      </c>
      <c r="R194" t="s">
        <v>47</v>
      </c>
      <c r="S194" t="s">
        <v>34</v>
      </c>
      <c r="T194" t="s">
        <v>500</v>
      </c>
      <c r="U194" t="str">
        <f t="shared" si="18"/>
        <v>46-55</v>
      </c>
      <c r="V194" t="str">
        <f t="shared" si="19"/>
        <v>January</v>
      </c>
      <c r="W194" t="str">
        <f t="shared" si="20"/>
        <v>Q1</v>
      </c>
      <c r="X194">
        <f t="shared" si="21"/>
        <v>2026</v>
      </c>
      <c r="Y194" t="str">
        <f t="shared" si="26"/>
        <v>High</v>
      </c>
      <c r="Z194" t="str">
        <f t="shared" si="22"/>
        <v>Regular Buyer</v>
      </c>
      <c r="AA194" t="str">
        <f t="shared" si="23"/>
        <v>Regular</v>
      </c>
      <c r="AB194" s="4">
        <f t="shared" ca="1" si="24"/>
        <v>75</v>
      </c>
      <c r="AC194" t="str">
        <f t="shared" ca="1" si="25"/>
        <v>At Risk</v>
      </c>
    </row>
    <row r="195" spans="1:29" x14ac:dyDescent="0.3">
      <c r="A195" t="s">
        <v>567</v>
      </c>
      <c r="B195" t="s">
        <v>37</v>
      </c>
      <c r="C195">
        <v>45</v>
      </c>
      <c r="D195" t="s">
        <v>22</v>
      </c>
      <c r="E195" t="s">
        <v>87</v>
      </c>
      <c r="F195" t="s">
        <v>79</v>
      </c>
      <c r="G195" t="s">
        <v>91</v>
      </c>
      <c r="H195" t="s">
        <v>41</v>
      </c>
      <c r="I195" t="s">
        <v>272</v>
      </c>
      <c r="J195" t="s">
        <v>174</v>
      </c>
      <c r="K195">
        <v>6</v>
      </c>
      <c r="L195">
        <v>2634.08</v>
      </c>
      <c r="M195">
        <v>15804.48</v>
      </c>
      <c r="N195" t="s">
        <v>58</v>
      </c>
      <c r="O195" t="s">
        <v>30</v>
      </c>
      <c r="P195" t="s">
        <v>31</v>
      </c>
      <c r="Q195" t="s">
        <v>46</v>
      </c>
      <c r="R195" t="s">
        <v>47</v>
      </c>
      <c r="S195" t="s">
        <v>142</v>
      </c>
      <c r="T195" t="s">
        <v>241</v>
      </c>
      <c r="U195" t="str">
        <f t="shared" ref="U195:U201" si="27">IF(C195&lt;=25,"18-25",
IF(C195&lt;=35,"26-35",
IF(C195&lt;=45,"36-45",
IF(C195&lt;=55,"46-55","55+"))))</f>
        <v>36-45</v>
      </c>
      <c r="V195" t="str">
        <f t="shared" ref="V195:V201" si="28">TEXT(J195,"MMMM")</f>
        <v>November</v>
      </c>
      <c r="W195" t="str">
        <f t="shared" ref="W195:W201" si="29">"Q"&amp;ROUNDUP(MONTH(J195)/3,0)</f>
        <v>Q4</v>
      </c>
      <c r="X195">
        <f t="shared" ref="X195:X201" si="30">YEAR(J195)</f>
        <v>2025</v>
      </c>
      <c r="Y195" t="str">
        <f t="shared" si="26"/>
        <v>Low</v>
      </c>
      <c r="Z195" t="str">
        <f t="shared" ref="Z195:Z201" si="31">IF(R195="Yes","Discount Buyer","Regular Buyer")</f>
        <v>Regular Buyer</v>
      </c>
      <c r="AA195" t="str">
        <f t="shared" ref="AA195:AA201" si="32">IF(M195&gt;=10000,"VIP",
IF(M195&gt;=5000,"Premium","Regular"))</f>
        <v>VIP</v>
      </c>
      <c r="AB195" s="4">
        <f t="shared" ref="AB195:AB201" ca="1" si="33">TODAY()-DATEVALUE(T195)</f>
        <v>165</v>
      </c>
      <c r="AC195" t="str">
        <f t="shared" ref="AC195:AC201" ca="1" si="34">IF(AB195&lt;=30,"Active",IF(AB195&lt;=180,"At Risk","Churn Risk"))</f>
        <v>At Risk</v>
      </c>
    </row>
    <row r="196" spans="1:29" x14ac:dyDescent="0.3">
      <c r="A196" t="s">
        <v>568</v>
      </c>
      <c r="B196" t="s">
        <v>86</v>
      </c>
      <c r="C196">
        <v>54</v>
      </c>
      <c r="D196" t="s">
        <v>38</v>
      </c>
      <c r="E196" t="s">
        <v>62</v>
      </c>
      <c r="F196" t="s">
        <v>53</v>
      </c>
      <c r="G196" t="s">
        <v>80</v>
      </c>
      <c r="H196" t="s">
        <v>64</v>
      </c>
      <c r="I196" t="s">
        <v>189</v>
      </c>
      <c r="J196" t="s">
        <v>569</v>
      </c>
      <c r="K196">
        <v>6</v>
      </c>
      <c r="L196">
        <v>3238.87</v>
      </c>
      <c r="M196">
        <v>19433.22</v>
      </c>
      <c r="N196" t="s">
        <v>67</v>
      </c>
      <c r="O196" t="s">
        <v>30</v>
      </c>
      <c r="P196" t="s">
        <v>31</v>
      </c>
      <c r="Q196" t="s">
        <v>59</v>
      </c>
      <c r="R196" t="s">
        <v>47</v>
      </c>
      <c r="S196" t="s">
        <v>48</v>
      </c>
      <c r="T196" t="s">
        <v>570</v>
      </c>
      <c r="U196" t="str">
        <f t="shared" si="27"/>
        <v>46-55</v>
      </c>
      <c r="V196" t="str">
        <f t="shared" si="28"/>
        <v>December</v>
      </c>
      <c r="W196" t="str">
        <f t="shared" si="29"/>
        <v>Q4</v>
      </c>
      <c r="X196">
        <f t="shared" si="30"/>
        <v>2025</v>
      </c>
      <c r="Y196" t="str">
        <f t="shared" ref="Y196:Y201" si="35">IF(M195&lt;1000,"Low",
IF(M195&lt;5000,"Medium","High"))</f>
        <v>High</v>
      </c>
      <c r="Z196" t="str">
        <f t="shared" si="31"/>
        <v>Regular Buyer</v>
      </c>
      <c r="AA196" t="str">
        <f t="shared" si="32"/>
        <v>VIP</v>
      </c>
      <c r="AB196" s="4">
        <f t="shared" ca="1" si="33"/>
        <v>59</v>
      </c>
      <c r="AC196" t="str">
        <f t="shared" ca="1" si="34"/>
        <v>At Risk</v>
      </c>
    </row>
    <row r="197" spans="1:29" x14ac:dyDescent="0.3">
      <c r="A197" t="s">
        <v>571</v>
      </c>
      <c r="B197" t="s">
        <v>159</v>
      </c>
      <c r="C197">
        <v>30</v>
      </c>
      <c r="D197" t="s">
        <v>38</v>
      </c>
      <c r="E197" t="s">
        <v>87</v>
      </c>
      <c r="F197" t="s">
        <v>79</v>
      </c>
      <c r="G197" t="s">
        <v>25</v>
      </c>
      <c r="H197" t="s">
        <v>129</v>
      </c>
      <c r="I197" t="s">
        <v>167</v>
      </c>
      <c r="J197" t="s">
        <v>572</v>
      </c>
      <c r="K197">
        <v>1</v>
      </c>
      <c r="L197">
        <v>1699.4</v>
      </c>
      <c r="M197">
        <v>1699.4</v>
      </c>
      <c r="N197" t="s">
        <v>98</v>
      </c>
      <c r="O197" t="s">
        <v>44</v>
      </c>
      <c r="P197" t="s">
        <v>31</v>
      </c>
      <c r="Q197" t="s">
        <v>46</v>
      </c>
      <c r="R197" t="s">
        <v>47</v>
      </c>
      <c r="S197" t="s">
        <v>48</v>
      </c>
      <c r="T197" t="s">
        <v>573</v>
      </c>
      <c r="U197" t="str">
        <f t="shared" si="27"/>
        <v>26-35</v>
      </c>
      <c r="V197" t="str">
        <f t="shared" si="28"/>
        <v>March</v>
      </c>
      <c r="W197" t="str">
        <f t="shared" si="29"/>
        <v>Q1</v>
      </c>
      <c r="X197">
        <f t="shared" si="30"/>
        <v>2026</v>
      </c>
      <c r="Y197" t="str">
        <f t="shared" si="35"/>
        <v>High</v>
      </c>
      <c r="Z197" t="str">
        <f t="shared" si="31"/>
        <v>Regular Buyer</v>
      </c>
      <c r="AA197" t="str">
        <f t="shared" si="32"/>
        <v>Regular</v>
      </c>
      <c r="AB197" s="4">
        <f t="shared" ca="1" si="33"/>
        <v>18</v>
      </c>
      <c r="AC197" t="str">
        <f t="shared" ca="1" si="34"/>
        <v>Active</v>
      </c>
    </row>
    <row r="198" spans="1:29" x14ac:dyDescent="0.3">
      <c r="A198" t="s">
        <v>574</v>
      </c>
      <c r="B198" t="s">
        <v>37</v>
      </c>
      <c r="C198">
        <v>22</v>
      </c>
      <c r="D198" t="s">
        <v>38</v>
      </c>
      <c r="E198" t="s">
        <v>121</v>
      </c>
      <c r="F198" t="s">
        <v>24</v>
      </c>
      <c r="G198" t="s">
        <v>91</v>
      </c>
      <c r="H198" t="s">
        <v>129</v>
      </c>
      <c r="I198" t="s">
        <v>130</v>
      </c>
      <c r="J198" t="s">
        <v>407</v>
      </c>
      <c r="K198">
        <v>5</v>
      </c>
      <c r="L198">
        <v>3428.32</v>
      </c>
      <c r="M198">
        <v>17141.599999999999</v>
      </c>
      <c r="N198" t="s">
        <v>58</v>
      </c>
      <c r="O198" t="s">
        <v>30</v>
      </c>
      <c r="P198" t="s">
        <v>31</v>
      </c>
      <c r="Q198" t="s">
        <v>46</v>
      </c>
      <c r="R198" t="s">
        <v>33</v>
      </c>
      <c r="S198" t="s">
        <v>83</v>
      </c>
      <c r="T198" t="s">
        <v>246</v>
      </c>
      <c r="U198" t="str">
        <f t="shared" si="27"/>
        <v>18-25</v>
      </c>
      <c r="V198" t="str">
        <f t="shared" si="28"/>
        <v>June</v>
      </c>
      <c r="W198" t="str">
        <f t="shared" si="29"/>
        <v>Q2</v>
      </c>
      <c r="X198">
        <f t="shared" si="30"/>
        <v>2025</v>
      </c>
      <c r="Y198" t="str">
        <f t="shared" si="35"/>
        <v>Medium</v>
      </c>
      <c r="Z198" t="str">
        <f t="shared" si="31"/>
        <v>Discount Buyer</v>
      </c>
      <c r="AA198" t="str">
        <f t="shared" si="32"/>
        <v>VIP</v>
      </c>
      <c r="AB198" s="4">
        <f t="shared" ca="1" si="33"/>
        <v>363</v>
      </c>
      <c r="AC198" t="str">
        <f t="shared" ca="1" si="34"/>
        <v>Churn Risk</v>
      </c>
    </row>
    <row r="199" spans="1:29" x14ac:dyDescent="0.3">
      <c r="A199" t="s">
        <v>575</v>
      </c>
      <c r="B199" t="s">
        <v>51</v>
      </c>
      <c r="C199">
        <v>23</v>
      </c>
      <c r="D199" t="s">
        <v>38</v>
      </c>
      <c r="E199" t="s">
        <v>52</v>
      </c>
      <c r="F199" t="s">
        <v>53</v>
      </c>
      <c r="G199" t="s">
        <v>91</v>
      </c>
      <c r="H199" t="s">
        <v>64</v>
      </c>
      <c r="I199" t="s">
        <v>102</v>
      </c>
      <c r="J199" t="s">
        <v>233</v>
      </c>
      <c r="K199">
        <v>4</v>
      </c>
      <c r="L199">
        <v>586.41</v>
      </c>
      <c r="M199">
        <v>2345.64</v>
      </c>
      <c r="N199" t="s">
        <v>98</v>
      </c>
      <c r="O199" t="s">
        <v>44</v>
      </c>
      <c r="P199" t="s">
        <v>45</v>
      </c>
      <c r="Q199" t="s">
        <v>32</v>
      </c>
      <c r="R199" t="s">
        <v>47</v>
      </c>
      <c r="S199" t="s">
        <v>83</v>
      </c>
      <c r="T199" t="s">
        <v>168</v>
      </c>
      <c r="U199" t="str">
        <f t="shared" si="27"/>
        <v>18-25</v>
      </c>
      <c r="V199" t="str">
        <f t="shared" si="28"/>
        <v>July</v>
      </c>
      <c r="W199" t="str">
        <f t="shared" si="29"/>
        <v>Q3</v>
      </c>
      <c r="X199">
        <f t="shared" si="30"/>
        <v>2025</v>
      </c>
      <c r="Y199" t="str">
        <f t="shared" si="35"/>
        <v>High</v>
      </c>
      <c r="Z199" t="str">
        <f t="shared" si="31"/>
        <v>Regular Buyer</v>
      </c>
      <c r="AA199" t="str">
        <f t="shared" si="32"/>
        <v>Regular</v>
      </c>
      <c r="AB199" s="4">
        <f t="shared" ca="1" si="33"/>
        <v>251</v>
      </c>
      <c r="AC199" t="str">
        <f t="shared" ca="1" si="34"/>
        <v>Churn Risk</v>
      </c>
    </row>
    <row r="200" spans="1:29" x14ac:dyDescent="0.3">
      <c r="A200" t="s">
        <v>576</v>
      </c>
      <c r="B200" t="s">
        <v>86</v>
      </c>
      <c r="C200">
        <v>60</v>
      </c>
      <c r="D200" t="s">
        <v>22</v>
      </c>
      <c r="E200" t="s">
        <v>39</v>
      </c>
      <c r="F200" t="s">
        <v>40</v>
      </c>
      <c r="G200" t="s">
        <v>152</v>
      </c>
      <c r="H200" t="s">
        <v>26</v>
      </c>
      <c r="I200" t="s">
        <v>136</v>
      </c>
      <c r="J200" t="s">
        <v>181</v>
      </c>
      <c r="K200">
        <v>7</v>
      </c>
      <c r="L200">
        <v>861.39</v>
      </c>
      <c r="M200">
        <v>6029.73</v>
      </c>
      <c r="N200" t="s">
        <v>29</v>
      </c>
      <c r="O200" t="s">
        <v>44</v>
      </c>
      <c r="P200" t="s">
        <v>45</v>
      </c>
      <c r="Q200" t="s">
        <v>99</v>
      </c>
      <c r="R200" t="s">
        <v>47</v>
      </c>
      <c r="S200" t="s">
        <v>83</v>
      </c>
      <c r="T200" t="s">
        <v>577</v>
      </c>
      <c r="U200" t="str">
        <f t="shared" si="27"/>
        <v>55+</v>
      </c>
      <c r="V200" t="str">
        <f t="shared" si="28"/>
        <v>March</v>
      </c>
      <c r="W200" t="str">
        <f t="shared" si="29"/>
        <v>Q1</v>
      </c>
      <c r="X200">
        <f t="shared" si="30"/>
        <v>2025</v>
      </c>
      <c r="Y200" t="str">
        <f t="shared" si="35"/>
        <v>Medium</v>
      </c>
      <c r="Z200" t="str">
        <f t="shared" si="31"/>
        <v>Regular Buyer</v>
      </c>
      <c r="AA200" t="str">
        <f t="shared" si="32"/>
        <v>Premium</v>
      </c>
      <c r="AB200" s="4">
        <f t="shared" ca="1" si="33"/>
        <v>374</v>
      </c>
      <c r="AC200" t="str">
        <f t="shared" ca="1" si="34"/>
        <v>Churn Risk</v>
      </c>
    </row>
    <row r="201" spans="1:29" x14ac:dyDescent="0.3">
      <c r="A201" t="s">
        <v>578</v>
      </c>
      <c r="B201" t="s">
        <v>120</v>
      </c>
      <c r="C201">
        <v>43</v>
      </c>
      <c r="D201" t="s">
        <v>22</v>
      </c>
      <c r="E201" t="s">
        <v>78</v>
      </c>
      <c r="F201" t="s">
        <v>79</v>
      </c>
      <c r="G201" t="s">
        <v>72</v>
      </c>
      <c r="H201" t="s">
        <v>55</v>
      </c>
      <c r="I201" t="s">
        <v>122</v>
      </c>
      <c r="J201" t="s">
        <v>579</v>
      </c>
      <c r="K201">
        <v>1</v>
      </c>
      <c r="L201">
        <v>2359.16</v>
      </c>
      <c r="M201">
        <v>2359.16</v>
      </c>
      <c r="N201" t="s">
        <v>108</v>
      </c>
      <c r="O201" t="s">
        <v>30</v>
      </c>
      <c r="P201" t="s">
        <v>68</v>
      </c>
      <c r="Q201" t="s">
        <v>99</v>
      </c>
      <c r="R201" t="s">
        <v>47</v>
      </c>
      <c r="S201" t="s">
        <v>83</v>
      </c>
      <c r="T201" t="s">
        <v>580</v>
      </c>
      <c r="U201" t="str">
        <f t="shared" si="27"/>
        <v>36-45</v>
      </c>
      <c r="V201" t="str">
        <f t="shared" si="28"/>
        <v>April</v>
      </c>
      <c r="W201" t="str">
        <f t="shared" si="29"/>
        <v>Q2</v>
      </c>
      <c r="X201">
        <f t="shared" si="30"/>
        <v>2025</v>
      </c>
      <c r="Y201" t="str">
        <f t="shared" si="35"/>
        <v>High</v>
      </c>
      <c r="Z201" t="str">
        <f t="shared" si="31"/>
        <v>Regular Buyer</v>
      </c>
      <c r="AA201" t="str">
        <f t="shared" si="32"/>
        <v>Regular</v>
      </c>
      <c r="AB201" s="4">
        <f t="shared" ca="1" si="33"/>
        <v>312</v>
      </c>
      <c r="AC201" t="str">
        <f t="shared" ca="1" si="34"/>
        <v>Churn Risk</v>
      </c>
    </row>
    <row r="202" spans="1:29" x14ac:dyDescent="0.3">
      <c r="AB202" s="1"/>
    </row>
    <row r="203" spans="1:29" x14ac:dyDescent="0.3">
      <c r="AB203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Purchase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Vaishnavi Pal</cp:lastModifiedBy>
  <dcterms:created xsi:type="dcterms:W3CDTF">2026-06-05T18:24:52Z</dcterms:created>
  <dcterms:modified xsi:type="dcterms:W3CDTF">2026-06-06T18:17:47Z</dcterms:modified>
</cp:coreProperties>
</file>